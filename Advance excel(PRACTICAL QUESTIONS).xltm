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pivotTables/pivotTable3.xml" ContentType="application/vnd.openxmlformats-officedocument.spreadsheetml.pivotTable+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slicers/slicer2.xml" ContentType="application/vnd.ms-excel.slicer+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admin\Downloads\"/>
    </mc:Choice>
  </mc:AlternateContent>
  <xr:revisionPtr revIDLastSave="0" documentId="8_{8C3E6B75-3130-41C2-9A57-9821C896B892}" xr6:coauthVersionLast="47" xr6:coauthVersionMax="47" xr10:uidLastSave="{00000000-0000-0000-0000-000000000000}"/>
  <bookViews>
    <workbookView xWindow="-108" yWindow="-108" windowWidth="23256" windowHeight="12456" xr2:uid="{7FA5E1A5-7E22-4953-9CC9-D409178E3505}"/>
  </bookViews>
  <sheets>
    <sheet name="ANS6" sheetId="1" r:id="rId1"/>
    <sheet name="ANS7 DASHBOARD(ROAD ANALSIS)" sheetId="7" r:id="rId2"/>
    <sheet name="ANS 8" sheetId="12" r:id="rId3"/>
    <sheet name="ANS. 9" sheetId="14" r:id="rId4"/>
    <sheet name="ANS 10" sheetId="16" r:id="rId5"/>
    <sheet name="sheet 7" sheetId="3" r:id="rId6"/>
    <sheet name="Sheet4" sheetId="4" r:id="rId7"/>
    <sheet name="Sheet5" sheetId="5" r:id="rId8"/>
    <sheet name="Sheet6" sheetId="6" r:id="rId9"/>
    <sheet name="Sheet10" sheetId="11" r:id="rId10"/>
    <sheet name="Sheet2" sheetId="2" r:id="rId11"/>
  </sheets>
  <definedNames>
    <definedName name="Slicer_Accident_ID">#N/A</definedName>
    <definedName name="Slicer_Cause">#N/A</definedName>
    <definedName name="Slicer_Date">#N/A</definedName>
    <definedName name="Slicer_Location">#N/A</definedName>
    <definedName name="Slicer_Road_Condition">#N/A</definedName>
    <definedName name="Slicer_Severity">#N/A</definedName>
  </definedNames>
  <calcPr calcId="191029"/>
  <pivotCaches>
    <pivotCache cacheId="0" r:id="rId12"/>
    <pivotCache cacheId="1" r:id="rId13"/>
    <pivotCache cacheId="8" r:id="rId14"/>
  </pivotCaches>
  <extLst>
    <ext xmlns:x14="http://schemas.microsoft.com/office/spreadsheetml/2009/9/main" uri="{BBE1A952-AA13-448e-AADC-164F8A28A991}">
      <x14:slicerCaches>
        <x14:slicerCache r:id="rId15"/>
        <x14:slicerCache r:id="rId16"/>
        <x14:slicerCache r:id="rId17"/>
        <x14:slicerCache r:id="rId18"/>
        <x14:slicerCache r:id="rId19"/>
        <x14:slicerCache r:id="rId2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9" i="16" l="1"/>
  <c r="M9" i="16" s="1"/>
  <c r="L10" i="16"/>
  <c r="M10" i="16"/>
  <c r="N10" i="16"/>
  <c r="L11" i="16"/>
  <c r="N11" i="16" s="1"/>
  <c r="M11" i="16"/>
  <c r="L12" i="16"/>
  <c r="M12" i="16" s="1"/>
  <c r="N12" i="16"/>
  <c r="L13" i="16"/>
  <c r="M13" i="16" s="1"/>
  <c r="N13" i="16"/>
  <c r="L14" i="16"/>
  <c r="M14" i="16" s="1"/>
  <c r="L15" i="16"/>
  <c r="M15" i="16"/>
  <c r="N15" i="16"/>
  <c r="L16" i="16"/>
  <c r="M16" i="16" s="1"/>
  <c r="L17" i="16"/>
  <c r="M17" i="16" s="1"/>
  <c r="L18" i="16"/>
  <c r="M18" i="16"/>
  <c r="N18" i="16"/>
  <c r="L19" i="16"/>
  <c r="N19" i="16" s="1"/>
  <c r="M19" i="16"/>
  <c r="L20" i="16"/>
  <c r="M20" i="16" s="1"/>
  <c r="L21" i="16"/>
  <c r="M21" i="16"/>
  <c r="N21" i="16"/>
  <c r="L22" i="16"/>
  <c r="M22" i="16" s="1"/>
  <c r="L23" i="16"/>
  <c r="N23" i="16" s="1"/>
  <c r="M23" i="16"/>
  <c r="L24" i="16"/>
  <c r="M24" i="16"/>
  <c r="N24" i="16"/>
  <c r="L25" i="16"/>
  <c r="M25" i="16" s="1"/>
  <c r="L26" i="16"/>
  <c r="M26" i="16"/>
  <c r="N26" i="16"/>
  <c r="L27" i="16"/>
  <c r="N27" i="16" s="1"/>
  <c r="L28" i="16"/>
  <c r="M28" i="16" s="1"/>
  <c r="N28" i="16"/>
  <c r="L29" i="16"/>
  <c r="M29" i="16"/>
  <c r="N29" i="16"/>
  <c r="L30" i="16"/>
  <c r="M30" i="16" s="1"/>
  <c r="L31" i="16"/>
  <c r="M31" i="16" s="1"/>
  <c r="N31" i="16"/>
  <c r="L32" i="16"/>
  <c r="M32" i="16"/>
  <c r="N32" i="16"/>
  <c r="L33" i="16"/>
  <c r="M33" i="16" s="1"/>
  <c r="L34" i="16"/>
  <c r="M34" i="16" s="1"/>
  <c r="L35" i="16"/>
  <c r="N35" i="16" s="1"/>
  <c r="M35" i="16"/>
  <c r="L36" i="16"/>
  <c r="M36" i="16" s="1"/>
  <c r="N36" i="16"/>
  <c r="L37" i="16"/>
  <c r="N37" i="16" s="1"/>
  <c r="M37" i="16"/>
  <c r="L38" i="16"/>
  <c r="M38" i="16" s="1"/>
  <c r="L39" i="16"/>
  <c r="M39" i="16"/>
  <c r="N39" i="16"/>
  <c r="L40" i="16"/>
  <c r="M40" i="16"/>
  <c r="N40" i="16"/>
  <c r="L41" i="16"/>
  <c r="M41" i="16" s="1"/>
  <c r="L42" i="16"/>
  <c r="M42" i="16"/>
  <c r="N42" i="16"/>
  <c r="L43" i="16"/>
  <c r="N43" i="16" s="1"/>
  <c r="M43" i="16"/>
  <c r="L44" i="16"/>
  <c r="M44" i="16" s="1"/>
  <c r="N44" i="16"/>
  <c r="L45" i="16"/>
  <c r="M45" i="16" s="1"/>
  <c r="N45" i="16"/>
  <c r="L46" i="16"/>
  <c r="M46" i="16" s="1"/>
  <c r="L47" i="16"/>
  <c r="M47" i="16"/>
  <c r="N47" i="16"/>
  <c r="L48" i="16"/>
  <c r="M48" i="16" s="1"/>
  <c r="L49" i="16"/>
  <c r="M49" i="16" s="1"/>
  <c r="L50" i="16"/>
  <c r="M50" i="16"/>
  <c r="N50" i="16"/>
  <c r="L51" i="16"/>
  <c r="N51" i="16" s="1"/>
  <c r="M51" i="16"/>
  <c r="L52" i="16"/>
  <c r="M52" i="16" s="1"/>
  <c r="N52" i="16"/>
  <c r="L53" i="16"/>
  <c r="M53" i="16"/>
  <c r="N53" i="16"/>
  <c r="L54" i="16"/>
  <c r="M54" i="16" s="1"/>
  <c r="L55" i="16"/>
  <c r="M55" i="16" s="1"/>
  <c r="L56" i="16"/>
  <c r="M56" i="16"/>
  <c r="N56" i="16"/>
  <c r="L57" i="16"/>
  <c r="M57" i="16" s="1"/>
  <c r="L58" i="16"/>
  <c r="N58" i="16" s="1"/>
  <c r="M58" i="16"/>
  <c r="L59" i="16"/>
  <c r="N59" i="16" s="1"/>
  <c r="M59" i="16"/>
  <c r="L60" i="16"/>
  <c r="M60" i="16"/>
  <c r="N60" i="16"/>
  <c r="L61" i="16"/>
  <c r="N61" i="16" s="1"/>
  <c r="M61" i="16"/>
  <c r="L62" i="16"/>
  <c r="M62" i="16" s="1"/>
  <c r="L63" i="16"/>
  <c r="M63" i="16"/>
  <c r="N63" i="16"/>
  <c r="L64" i="16"/>
  <c r="M64" i="16"/>
  <c r="N64" i="16"/>
  <c r="L65" i="16"/>
  <c r="M65" i="16" s="1"/>
  <c r="L66" i="16"/>
  <c r="M66" i="16"/>
  <c r="N66" i="16"/>
  <c r="L67" i="16"/>
  <c r="N67" i="16" s="1"/>
  <c r="M67" i="16"/>
  <c r="L68" i="16"/>
  <c r="N68" i="16" s="1"/>
  <c r="M68" i="16"/>
  <c r="L69" i="16"/>
  <c r="M69" i="16"/>
  <c r="N69" i="16"/>
  <c r="L70" i="16"/>
  <c r="M70" i="16" s="1"/>
  <c r="L71" i="16"/>
  <c r="M71" i="16"/>
  <c r="N71" i="16"/>
  <c r="L72" i="16"/>
  <c r="M72" i="16" s="1"/>
  <c r="N72" i="16"/>
  <c r="L73" i="16"/>
  <c r="M73" i="16" s="1"/>
  <c r="L74" i="16"/>
  <c r="M74" i="16"/>
  <c r="N74" i="16"/>
  <c r="L75" i="16"/>
  <c r="N75" i="16" s="1"/>
  <c r="L76" i="16"/>
  <c r="M76" i="16"/>
  <c r="N76" i="16"/>
  <c r="L77" i="16"/>
  <c r="M77" i="16"/>
  <c r="N77" i="16"/>
  <c r="L78" i="16"/>
  <c r="M78" i="16" s="1"/>
  <c r="L79" i="16"/>
  <c r="M79" i="16" s="1"/>
  <c r="N79" i="16"/>
  <c r="L80" i="16"/>
  <c r="M80" i="16"/>
  <c r="N80" i="16"/>
  <c r="L81" i="16"/>
  <c r="M81" i="16" s="1"/>
  <c r="L82" i="16"/>
  <c r="M82" i="16" s="1"/>
  <c r="L83" i="16"/>
  <c r="N83" i="16" s="1"/>
  <c r="M83" i="16"/>
  <c r="L84" i="16"/>
  <c r="M84" i="16"/>
  <c r="N84" i="16"/>
  <c r="L85" i="16"/>
  <c r="M85" i="16" s="1"/>
  <c r="L86" i="16"/>
  <c r="M86" i="16" s="1"/>
  <c r="L87" i="16"/>
  <c r="M87" i="16"/>
  <c r="N87" i="16"/>
  <c r="L88" i="16"/>
  <c r="N88" i="16" s="1"/>
  <c r="M88" i="16"/>
  <c r="L89" i="16"/>
  <c r="M89" i="16" s="1"/>
  <c r="L90" i="16"/>
  <c r="M90" i="16"/>
  <c r="N90" i="16"/>
  <c r="L91" i="16"/>
  <c r="N91" i="16" s="1"/>
  <c r="M91" i="16"/>
  <c r="L92" i="16"/>
  <c r="M92" i="16" s="1"/>
  <c r="L93" i="16"/>
  <c r="M93" i="16"/>
  <c r="N93" i="16"/>
  <c r="L94" i="16"/>
  <c r="M94" i="16" s="1"/>
  <c r="L95" i="16"/>
  <c r="N95" i="16" s="1"/>
  <c r="M95" i="16"/>
  <c r="L96" i="16"/>
  <c r="M96" i="16"/>
  <c r="N96" i="16"/>
  <c r="L97" i="16"/>
  <c r="M97" i="16" s="1"/>
  <c r="L98" i="16"/>
  <c r="M98" i="16"/>
  <c r="N98" i="16"/>
  <c r="L99" i="16"/>
  <c r="N99" i="16" s="1"/>
  <c r="L100" i="16"/>
  <c r="M100" i="16"/>
  <c r="N100" i="16"/>
  <c r="L101" i="16"/>
  <c r="M101" i="16"/>
  <c r="N101" i="16"/>
  <c r="L102" i="16"/>
  <c r="M102" i="16" s="1"/>
  <c r="L103" i="16"/>
  <c r="M103" i="16"/>
  <c r="N103" i="16"/>
  <c r="L104" i="16"/>
  <c r="M104" i="16"/>
  <c r="N104" i="16"/>
  <c r="L105" i="16"/>
  <c r="M105" i="16" s="1"/>
  <c r="L106" i="16"/>
  <c r="M106" i="16" s="1"/>
  <c r="N106" i="16"/>
  <c r="L107" i="16"/>
  <c r="N107" i="16" s="1"/>
  <c r="M107" i="16"/>
  <c r="L108" i="16"/>
  <c r="M108" i="16"/>
  <c r="N108" i="16"/>
  <c r="D5" i="14"/>
  <c r="E5" i="1"/>
  <c r="E6" i="1"/>
  <c r="E7" i="1"/>
  <c r="E8" i="1"/>
  <c r="E9" i="1"/>
  <c r="E10" i="1"/>
  <c r="E11" i="1"/>
  <c r="E4" i="1"/>
  <c r="D5" i="1"/>
  <c r="D6" i="1"/>
  <c r="D7" i="1"/>
  <c r="D8" i="1"/>
  <c r="D9" i="1"/>
  <c r="D10" i="1"/>
  <c r="D11" i="1"/>
  <c r="D4" i="1"/>
  <c r="M99" i="16" l="1"/>
  <c r="N92" i="16"/>
  <c r="N85" i="16"/>
  <c r="N82" i="16"/>
  <c r="N55" i="16"/>
  <c r="N48" i="16"/>
  <c r="N34" i="16"/>
  <c r="M27" i="16"/>
  <c r="N20" i="16"/>
  <c r="N16" i="16"/>
  <c r="M75" i="16"/>
  <c r="N105" i="16"/>
  <c r="N97" i="16"/>
  <c r="N89" i="16"/>
  <c r="N81" i="16"/>
  <c r="N73" i="16"/>
  <c r="N65" i="16"/>
  <c r="N57" i="16"/>
  <c r="N49" i="16"/>
  <c r="N41" i="16"/>
  <c r="N33" i="16"/>
  <c r="N25" i="16"/>
  <c r="N17" i="16"/>
  <c r="N9" i="16"/>
  <c r="N102" i="16"/>
  <c r="N94" i="16"/>
  <c r="N86" i="16"/>
  <c r="N78" i="16"/>
  <c r="N70" i="16"/>
  <c r="N62" i="16"/>
  <c r="N54" i="16"/>
  <c r="N46" i="16"/>
  <c r="N38" i="16"/>
  <c r="N30" i="16"/>
  <c r="N22" i="16"/>
  <c r="N14" i="16"/>
</calcChain>
</file>

<file path=xl/sharedStrings.xml><?xml version="1.0" encoding="utf-8"?>
<sst xmlns="http://schemas.openxmlformats.org/spreadsheetml/2006/main" count="1785" uniqueCount="405">
  <si>
    <t>Employee ID</t>
  </si>
  <si>
    <t>Employee Name</t>
  </si>
  <si>
    <t>Joining Date</t>
  </si>
  <si>
    <t>E001</t>
  </si>
  <si>
    <t>Amit Sharma</t>
  </si>
  <si>
    <t>E002</t>
  </si>
  <si>
    <t>Neha Verma</t>
  </si>
  <si>
    <t>E003</t>
  </si>
  <si>
    <t>Rahul Mehta</t>
  </si>
  <si>
    <t>E004</t>
  </si>
  <si>
    <t>Priya Singh</t>
  </si>
  <si>
    <t>E005</t>
  </si>
  <si>
    <t>Rohit Kumar</t>
  </si>
  <si>
    <t>E006</t>
  </si>
  <si>
    <t>Anjali Gupta</t>
  </si>
  <si>
    <t>E007</t>
  </si>
  <si>
    <t>Karan Malhotra</t>
  </si>
  <si>
    <t>E008</t>
  </si>
  <si>
    <t>Simran Kaur</t>
  </si>
  <si>
    <t>Experience (Years)</t>
  </si>
  <si>
    <t>Experience (Months)</t>
  </si>
  <si>
    <t>Question 6 : Create a dataset of 8 employees with joining dates. Use the dummy dataset to calculate their experience in years and months.</t>
  </si>
  <si>
    <t>Accident ID</t>
  </si>
  <si>
    <t>Date</t>
  </si>
  <si>
    <t>Location</t>
  </si>
  <si>
    <t>Accident Type</t>
  </si>
  <si>
    <t>Vehicle Type</t>
  </si>
  <si>
    <t>Weather Condition</t>
  </si>
  <si>
    <t>Road Condition</t>
  </si>
  <si>
    <t>Severity</t>
  </si>
  <si>
    <t>Cause</t>
  </si>
  <si>
    <t>Casualties</t>
  </si>
  <si>
    <t>AID0001</t>
  </si>
  <si>
    <t>Hyderabad</t>
  </si>
  <si>
    <t>Overturn</t>
  </si>
  <si>
    <t>Auto-Rickshaw</t>
  </si>
  <si>
    <t>Clear</t>
  </si>
  <si>
    <t>Dry</t>
  </si>
  <si>
    <t>Moderate</t>
  </si>
  <si>
    <t>Overtaking</t>
  </si>
  <si>
    <t>AID0002</t>
  </si>
  <si>
    <t>Mumbai</t>
  </si>
  <si>
    <t>Foggy</t>
  </si>
  <si>
    <t>Damaged</t>
  </si>
  <si>
    <t>Distracted Driving</t>
  </si>
  <si>
    <t>AID0003</t>
  </si>
  <si>
    <t>Bicycle</t>
  </si>
  <si>
    <t>Windy</t>
  </si>
  <si>
    <t>Under Construction</t>
  </si>
  <si>
    <t>Fatal</t>
  </si>
  <si>
    <t>AID0004</t>
  </si>
  <si>
    <t>Pune</t>
  </si>
  <si>
    <t>Collision</t>
  </si>
  <si>
    <t>Truck</t>
  </si>
  <si>
    <t>Brake Failure</t>
  </si>
  <si>
    <t>AID0005</t>
  </si>
  <si>
    <t>Bangalore</t>
  </si>
  <si>
    <t>Animal Hit</t>
  </si>
  <si>
    <t>Weather</t>
  </si>
  <si>
    <t>AID0006</t>
  </si>
  <si>
    <t>Car</t>
  </si>
  <si>
    <t>Rainy</t>
  </si>
  <si>
    <t>Minor</t>
  </si>
  <si>
    <t>Drunk Driving</t>
  </si>
  <si>
    <t>AID0007</t>
  </si>
  <si>
    <t>Delhi</t>
  </si>
  <si>
    <t>Speeding</t>
  </si>
  <si>
    <t>AID0008</t>
  </si>
  <si>
    <t>Wet</t>
  </si>
  <si>
    <t>AID0009</t>
  </si>
  <si>
    <t>AID0010</t>
  </si>
  <si>
    <t>Ahmedabad</t>
  </si>
  <si>
    <t>Motorcycle</t>
  </si>
  <si>
    <t>Severe</t>
  </si>
  <si>
    <t>AID0011</t>
  </si>
  <si>
    <t>Object Hit</t>
  </si>
  <si>
    <t>AID0012</t>
  </si>
  <si>
    <t>Pedestrian Hit</t>
  </si>
  <si>
    <t>AID0013</t>
  </si>
  <si>
    <t>AID0014</t>
  </si>
  <si>
    <t>Chennai</t>
  </si>
  <si>
    <t>Bus</t>
  </si>
  <si>
    <t>AID0015</t>
  </si>
  <si>
    <t>AID0016</t>
  </si>
  <si>
    <t>AID0017</t>
  </si>
  <si>
    <t>AID0018</t>
  </si>
  <si>
    <t>Kolkata</t>
  </si>
  <si>
    <t>AID0019</t>
  </si>
  <si>
    <t>AID0020</t>
  </si>
  <si>
    <t>AID0021</t>
  </si>
  <si>
    <t>AID0022</t>
  </si>
  <si>
    <t>AID0023</t>
  </si>
  <si>
    <t>AID0024</t>
  </si>
  <si>
    <t>AID0025</t>
  </si>
  <si>
    <t>AID0026</t>
  </si>
  <si>
    <t>AID0027</t>
  </si>
  <si>
    <t>AID0028</t>
  </si>
  <si>
    <t>AID0029</t>
  </si>
  <si>
    <t>AID0030</t>
  </si>
  <si>
    <t>AID0031</t>
  </si>
  <si>
    <t>AID0032</t>
  </si>
  <si>
    <t>AID0033</t>
  </si>
  <si>
    <t>AID0034</t>
  </si>
  <si>
    <t>AID0035</t>
  </si>
  <si>
    <t>AID0036</t>
  </si>
  <si>
    <t>AID0037</t>
  </si>
  <si>
    <t>AID0038</t>
  </si>
  <si>
    <t>AID0039</t>
  </si>
  <si>
    <t>AID0040</t>
  </si>
  <si>
    <t>AID0041</t>
  </si>
  <si>
    <t>AID0042</t>
  </si>
  <si>
    <t>AID0043</t>
  </si>
  <si>
    <t>AID0044</t>
  </si>
  <si>
    <t>AID0045</t>
  </si>
  <si>
    <t>AID0046</t>
  </si>
  <si>
    <t>AID0047</t>
  </si>
  <si>
    <t>AID0048</t>
  </si>
  <si>
    <t>AID0049</t>
  </si>
  <si>
    <t>AID0050</t>
  </si>
  <si>
    <t>AID0051</t>
  </si>
  <si>
    <t>AID0052</t>
  </si>
  <si>
    <t>AID0053</t>
  </si>
  <si>
    <t>AID0054</t>
  </si>
  <si>
    <t>AID0055</t>
  </si>
  <si>
    <t>AID0056</t>
  </si>
  <si>
    <t>AID0057</t>
  </si>
  <si>
    <t>AID0058</t>
  </si>
  <si>
    <t>AID0059</t>
  </si>
  <si>
    <t>AID0060</t>
  </si>
  <si>
    <t>AID0061</t>
  </si>
  <si>
    <t>AID0062</t>
  </si>
  <si>
    <t>AID0063</t>
  </si>
  <si>
    <t>AID0064</t>
  </si>
  <si>
    <t>AID0065</t>
  </si>
  <si>
    <t>AID0066</t>
  </si>
  <si>
    <t>AID0067</t>
  </si>
  <si>
    <t>AID0068</t>
  </si>
  <si>
    <t>AID0069</t>
  </si>
  <si>
    <t>AID0070</t>
  </si>
  <si>
    <t>AID0071</t>
  </si>
  <si>
    <t>AID0072</t>
  </si>
  <si>
    <t>AID0073</t>
  </si>
  <si>
    <t>AID0074</t>
  </si>
  <si>
    <t>AID0075</t>
  </si>
  <si>
    <t>AID0076</t>
  </si>
  <si>
    <t>AID0077</t>
  </si>
  <si>
    <t>AID0078</t>
  </si>
  <si>
    <t>AID0079</t>
  </si>
  <si>
    <t>AID0080</t>
  </si>
  <si>
    <t>AID0081</t>
  </si>
  <si>
    <t>AID0082</t>
  </si>
  <si>
    <t>AID0083</t>
  </si>
  <si>
    <t>AID0084</t>
  </si>
  <si>
    <t>AID0085</t>
  </si>
  <si>
    <t>AID0086</t>
  </si>
  <si>
    <t>AID0087</t>
  </si>
  <si>
    <t>AID0088</t>
  </si>
  <si>
    <t>AID0089</t>
  </si>
  <si>
    <t>AID0090</t>
  </si>
  <si>
    <t>AID0091</t>
  </si>
  <si>
    <t>AID0092</t>
  </si>
  <si>
    <t>AID0093</t>
  </si>
  <si>
    <t>AID0094</t>
  </si>
  <si>
    <t>AID0095</t>
  </si>
  <si>
    <t>AID0096</t>
  </si>
  <si>
    <t>AID0097</t>
  </si>
  <si>
    <t>AID0098</t>
  </si>
  <si>
    <t>AID0099</t>
  </si>
  <si>
    <t>AID0100</t>
  </si>
  <si>
    <t>Row Labels</t>
  </si>
  <si>
    <t>Grand Total</t>
  </si>
  <si>
    <t>Count of Accident ID</t>
  </si>
  <si>
    <t>Total Accidents</t>
  </si>
  <si>
    <t>Road Accident Analysis Dashboard</t>
  </si>
  <si>
    <t>Count of Accident Type</t>
  </si>
  <si>
    <t>Count of Location</t>
  </si>
  <si>
    <t>Count of Road Condition</t>
  </si>
  <si>
    <t>Count of Severity</t>
  </si>
  <si>
    <t>Count of Cause</t>
  </si>
  <si>
    <t>Count of Date</t>
  </si>
  <si>
    <t>Product ID</t>
  </si>
  <si>
    <t>Product Name</t>
  </si>
  <si>
    <t>Stock Level</t>
  </si>
  <si>
    <t>P001</t>
  </si>
  <si>
    <t>Pen</t>
  </si>
  <si>
    <t>P002</t>
  </si>
  <si>
    <t>Notebook</t>
  </si>
  <si>
    <t>P003</t>
  </si>
  <si>
    <t>Marker</t>
  </si>
  <si>
    <t>P004</t>
  </si>
  <si>
    <t>Pencil</t>
  </si>
  <si>
    <t>P005</t>
  </si>
  <si>
    <t>Eraser</t>
  </si>
  <si>
    <t>P006</t>
  </si>
  <si>
    <t>File</t>
  </si>
  <si>
    <t>P007</t>
  </si>
  <si>
    <t>Stapler</t>
  </si>
  <si>
    <t>P008</t>
  </si>
  <si>
    <t>Register</t>
  </si>
  <si>
    <t>P009</t>
  </si>
  <si>
    <t>Folder</t>
  </si>
  <si>
    <t>P010</t>
  </si>
  <si>
    <t>Highlighter</t>
  </si>
  <si>
    <t>I used a VBA macro with IF conditions to apply color formatting based on stock levels.</t>
  </si>
  <si>
    <t>Question 8 : Create a table of 10 products with stock levels. Use Macros to highlight: ● Low stock (less than 10 units) in red ● Overstock (more than 50 units) in green.</t>
  </si>
  <si>
    <t>PRODUCT</t>
  </si>
  <si>
    <t>PRICE</t>
  </si>
  <si>
    <t>Smartwatch</t>
  </si>
  <si>
    <t>Wall Clock</t>
  </si>
  <si>
    <t>Bluetooth Speaker</t>
  </si>
  <si>
    <t>Jeans</t>
  </si>
  <si>
    <t>Laptop</t>
  </si>
  <si>
    <t>Sofa Set</t>
  </si>
  <si>
    <t>Dress</t>
  </si>
  <si>
    <t>Smartphone</t>
  </si>
  <si>
    <t>Dining Table Set</t>
  </si>
  <si>
    <t>Leather Jacket</t>
  </si>
  <si>
    <t>Headphones</t>
  </si>
  <si>
    <t>Floor Lamp</t>
  </si>
  <si>
    <t>Sneakers</t>
  </si>
  <si>
    <t>Gaming Console</t>
  </si>
  <si>
    <t>Drone Camera</t>
  </si>
  <si>
    <t>TV</t>
  </si>
  <si>
    <t>Smart Glasses</t>
  </si>
  <si>
    <t>Recliner Sofa</t>
  </si>
  <si>
    <t>Washing Machine</t>
  </si>
  <si>
    <t>Earbuds</t>
  </si>
  <si>
    <t>Formal Shirt</t>
  </si>
  <si>
    <t>Coffee Table</t>
  </si>
  <si>
    <t>Air Conditioner</t>
  </si>
  <si>
    <t>Running Shoes</t>
  </si>
  <si>
    <t>Tablet</t>
  </si>
  <si>
    <t>Neckband</t>
  </si>
  <si>
    <t>Bookshelf</t>
  </si>
  <si>
    <t>Microwave</t>
  </si>
  <si>
    <t>Backpack</t>
  </si>
  <si>
    <t>Gaming Mouse</t>
  </si>
  <si>
    <t>Leather Wallet</t>
  </si>
  <si>
    <t>Ceiling Fan</t>
  </si>
  <si>
    <t>Sports Watch</t>
  </si>
  <si>
    <t>Router</t>
  </si>
  <si>
    <t>Smart Bulb</t>
  </si>
  <si>
    <t>Office Chair</t>
  </si>
  <si>
    <t>Blender</t>
  </si>
  <si>
    <t>Perfume</t>
  </si>
  <si>
    <t>Power Bank</t>
  </si>
  <si>
    <t>LED Bulb</t>
  </si>
  <si>
    <t>Gym Gloves</t>
  </si>
  <si>
    <t>Wall Art</t>
  </si>
  <si>
    <t>Printer</t>
  </si>
  <si>
    <t>Sunglasses</t>
  </si>
  <si>
    <t>Speaker</t>
  </si>
  <si>
    <t>Trolley Bag</t>
  </si>
  <si>
    <t>Curtains</t>
  </si>
  <si>
    <t>Induction Stove</t>
  </si>
  <si>
    <t>Travel Pillow</t>
  </si>
  <si>
    <t>SELECTED PRODUCT</t>
  </si>
  <si>
    <t xml:space="preserve">Question 9 : You are given a dataset : Create a drop-down list of product names in a 
separate cell using Data Validation, and write a formula in the adjacent cell so that when 
a product is selected from the drop-down, its corresponding price is automatically 
displayed. </t>
  </si>
  <si>
    <t>Region</t>
  </si>
  <si>
    <t>Electronics</t>
  </si>
  <si>
    <t>Credit Card</t>
  </si>
  <si>
    <t>UPI</t>
  </si>
  <si>
    <t>Customer ID</t>
  </si>
  <si>
    <t>Country</t>
  </si>
  <si>
    <t>State</t>
  </si>
  <si>
    <t>Phone Number</t>
  </si>
  <si>
    <t>Category</t>
  </si>
  <si>
    <t>Product</t>
  </si>
  <si>
    <t>Price</t>
  </si>
  <si>
    <t>Units Sold</t>
  </si>
  <si>
    <t>Profit</t>
  </si>
  <si>
    <t>Mode of Payment</t>
  </si>
  <si>
    <t>Revenue</t>
  </si>
  <si>
    <t>Revenue Label</t>
  </si>
  <si>
    <t>Profit %</t>
  </si>
  <si>
    <t>CUST1000</t>
  </si>
  <si>
    <t>West</t>
  </si>
  <si>
    <t>India</t>
  </si>
  <si>
    <t>Karnataka</t>
  </si>
  <si>
    <t>Clothing</t>
  </si>
  <si>
    <t>Shirt</t>
  </si>
  <si>
    <t>CUST1001</t>
  </si>
  <si>
    <t>Furniture</t>
  </si>
  <si>
    <t>Table</t>
  </si>
  <si>
    <t>Net Banking</t>
  </si>
  <si>
    <t>CUST1002</t>
  </si>
  <si>
    <t>South</t>
  </si>
  <si>
    <t>West Bengal</t>
  </si>
  <si>
    <t>T-shirt</t>
  </si>
  <si>
    <t>CUST1003</t>
  </si>
  <si>
    <t>Sofa</t>
  </si>
  <si>
    <t>Cash</t>
  </si>
  <si>
    <t>CUST1004</t>
  </si>
  <si>
    <t>CUST1005</t>
  </si>
  <si>
    <t>CUST1006</t>
  </si>
  <si>
    <t>East</t>
  </si>
  <si>
    <t>Tamil Nadu</t>
  </si>
  <si>
    <t>CUST1007</t>
  </si>
  <si>
    <t>Chair</t>
  </si>
  <si>
    <t>CUST1008</t>
  </si>
  <si>
    <t>Maharashtra</t>
  </si>
  <si>
    <t>CUST1009</t>
  </si>
  <si>
    <t>Gujarat</t>
  </si>
  <si>
    <t>CUST1010</t>
  </si>
  <si>
    <t>Rajasthan</t>
  </si>
  <si>
    <t>CUST1011</t>
  </si>
  <si>
    <t>CUST1012</t>
  </si>
  <si>
    <t>North</t>
  </si>
  <si>
    <t>CUST1013</t>
  </si>
  <si>
    <t>CUST1014</t>
  </si>
  <si>
    <t>CUST1015</t>
  </si>
  <si>
    <t>Monitor</t>
  </si>
  <si>
    <t>CUST1016</t>
  </si>
  <si>
    <t>Jacket</t>
  </si>
  <si>
    <t>Debit Card</t>
  </si>
  <si>
    <t>CUST1017</t>
  </si>
  <si>
    <t>Uttar Pradesh</t>
  </si>
  <si>
    <t>CUST1018</t>
  </si>
  <si>
    <t>CUST1019</t>
  </si>
  <si>
    <t>CUST1020</t>
  </si>
  <si>
    <t>CUST1021</t>
  </si>
  <si>
    <t>CUST1022</t>
  </si>
  <si>
    <t>CUST1023</t>
  </si>
  <si>
    <t>CUST1024</t>
  </si>
  <si>
    <t>CUST1025</t>
  </si>
  <si>
    <t>CUST1026</t>
  </si>
  <si>
    <t>CUST1027</t>
  </si>
  <si>
    <t>CUST1028</t>
  </si>
  <si>
    <t>CUST1029</t>
  </si>
  <si>
    <t>Cupboard</t>
  </si>
  <si>
    <t>CUST1030</t>
  </si>
  <si>
    <t>CUST1031</t>
  </si>
  <si>
    <t>CUST1032</t>
  </si>
  <si>
    <t>CUST1033</t>
  </si>
  <si>
    <t>CUST1034</t>
  </si>
  <si>
    <t>CUST1035</t>
  </si>
  <si>
    <t>CUST1036</t>
  </si>
  <si>
    <t>CUST1037</t>
  </si>
  <si>
    <t>CUST1038</t>
  </si>
  <si>
    <t>CUST1039</t>
  </si>
  <si>
    <t>CUST1040</t>
  </si>
  <si>
    <t>CUST1041</t>
  </si>
  <si>
    <t>CUST1042</t>
  </si>
  <si>
    <t>CUST1043</t>
  </si>
  <si>
    <t>CUST1044</t>
  </si>
  <si>
    <t>CUST1045</t>
  </si>
  <si>
    <t>CUST1046</t>
  </si>
  <si>
    <t>CUST1047</t>
  </si>
  <si>
    <t>CUST1048</t>
  </si>
  <si>
    <t>CUST1049</t>
  </si>
  <si>
    <t>CUST1050</t>
  </si>
  <si>
    <t>CUST1051</t>
  </si>
  <si>
    <t>CUST1052</t>
  </si>
  <si>
    <t>CUST1053</t>
  </si>
  <si>
    <t>CUST1054</t>
  </si>
  <si>
    <t>CUST1055</t>
  </si>
  <si>
    <t>CUST1056</t>
  </si>
  <si>
    <t>CUST1057</t>
  </si>
  <si>
    <t>CUST1058</t>
  </si>
  <si>
    <t>CUST1059</t>
  </si>
  <si>
    <t>CUST1060</t>
  </si>
  <si>
    <t>CUST1061</t>
  </si>
  <si>
    <t>CUST1062</t>
  </si>
  <si>
    <t>CUST1063</t>
  </si>
  <si>
    <t>CUST1064</t>
  </si>
  <si>
    <t>CUST1065</t>
  </si>
  <si>
    <t>CUST1066</t>
  </si>
  <si>
    <t>CUST1067</t>
  </si>
  <si>
    <t>CUST1068</t>
  </si>
  <si>
    <t>CUST1069</t>
  </si>
  <si>
    <t>CUST1070</t>
  </si>
  <si>
    <t>CUST1071</t>
  </si>
  <si>
    <t>CUST1072</t>
  </si>
  <si>
    <t>CUST1073</t>
  </si>
  <si>
    <t>CUST1074</t>
  </si>
  <si>
    <t>CUST1075</t>
  </si>
  <si>
    <t>CUST1076</t>
  </si>
  <si>
    <t>CUST1077</t>
  </si>
  <si>
    <t>CUST1078</t>
  </si>
  <si>
    <t>CUST1079</t>
  </si>
  <si>
    <t>CUST1080</t>
  </si>
  <si>
    <t>CUST1081</t>
  </si>
  <si>
    <t>CUST1082</t>
  </si>
  <si>
    <t>CUST1083</t>
  </si>
  <si>
    <t>CUST1084</t>
  </si>
  <si>
    <t>CUST1085</t>
  </si>
  <si>
    <t>CUST1086</t>
  </si>
  <si>
    <t>CUST1087</t>
  </si>
  <si>
    <t>CUST1088</t>
  </si>
  <si>
    <t>CUST1089</t>
  </si>
  <si>
    <t>CUST1090</t>
  </si>
  <si>
    <t>CUST1091</t>
  </si>
  <si>
    <t>CUST1092</t>
  </si>
  <si>
    <t>CUST1093</t>
  </si>
  <si>
    <t>CUST1094</t>
  </si>
  <si>
    <t>CUST1095</t>
  </si>
  <si>
    <t>CUST1096</t>
  </si>
  <si>
    <t>CUST1097</t>
  </si>
  <si>
    <t>CUST1098</t>
  </si>
  <si>
    <t>CUST1099</t>
  </si>
  <si>
    <t>Sum of Profit</t>
  </si>
  <si>
    <t>Sum of Revenue</t>
  </si>
  <si>
    <t>Total Revenue and Total Profit by Region</t>
  </si>
  <si>
    <t>Average of Units Sold</t>
  </si>
  <si>
    <t>Average Units Sold per Product Category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</si>
</sst>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8" x14ac:knownFonts="1">
    <font>
      <sz val="11"/>
      <color theme="1"/>
      <name val="Calibri"/>
      <family val="2"/>
      <scheme val="minor"/>
    </font>
    <font>
      <b/>
      <sz val="11"/>
      <color theme="1"/>
      <name val="Calibri"/>
      <family val="2"/>
      <scheme val="minor"/>
    </font>
    <font>
      <b/>
      <u/>
      <sz val="10"/>
      <color rgb="FF000000"/>
      <name val="Arial"/>
      <family val="2"/>
    </font>
    <font>
      <sz val="10"/>
      <color rgb="FF000000"/>
      <name val="Calibri"/>
      <family val="2"/>
      <scheme val="minor"/>
    </font>
    <font>
      <b/>
      <sz val="10"/>
      <color theme="1"/>
      <name val="Calibri"/>
      <family val="2"/>
      <scheme val="minor"/>
    </font>
    <font>
      <sz val="10"/>
      <color theme="1"/>
      <name val="Calibri"/>
      <family val="2"/>
      <scheme val="minor"/>
    </font>
    <font>
      <sz val="36"/>
      <color theme="1"/>
      <name val="Calibri"/>
      <family val="2"/>
      <scheme val="minor"/>
    </font>
    <font>
      <sz val="11"/>
      <color theme="1"/>
      <name val="Calibri"/>
      <family val="2"/>
      <scheme val="minor"/>
    </font>
  </fonts>
  <fills count="8">
    <fill>
      <patternFill patternType="none"/>
    </fill>
    <fill>
      <patternFill patternType="gray125"/>
    </fill>
    <fill>
      <patternFill patternType="solid">
        <fgColor theme="9" tint="0.39997558519241921"/>
        <bgColor indexed="64"/>
      </patternFill>
    </fill>
    <fill>
      <patternFill patternType="solid">
        <fgColor rgb="FFFF0000"/>
        <bgColor indexed="64"/>
      </patternFill>
    </fill>
    <fill>
      <patternFill patternType="solid">
        <fgColor rgb="FF00FF00"/>
        <bgColor indexed="64"/>
      </patternFill>
    </fill>
    <fill>
      <patternFill patternType="solid">
        <fgColor theme="5" tint="-0.249977111117893"/>
        <bgColor indexed="64"/>
      </patternFill>
    </fill>
    <fill>
      <patternFill patternType="solid">
        <fgColor theme="4" tint="0.79998168889431442"/>
        <bgColor indexed="64"/>
      </patternFill>
    </fill>
    <fill>
      <patternFill patternType="solid">
        <fgColor theme="4" tint="0.39997558519241921"/>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s>
  <cellStyleXfs count="2">
    <xf numFmtId="0" fontId="0" fillId="0" borderId="0"/>
    <xf numFmtId="0" fontId="3" fillId="0" borderId="0"/>
  </cellStyleXfs>
  <cellXfs count="26">
    <xf numFmtId="0" fontId="0" fillId="0" borderId="0" xfId="0"/>
    <xf numFmtId="0" fontId="4" fillId="0" borderId="0" xfId="1" applyFont="1"/>
    <xf numFmtId="0" fontId="5" fillId="0" borderId="0" xfId="1" applyFont="1"/>
    <xf numFmtId="164" fontId="5" fillId="0" borderId="0" xfId="1" applyNumberFormat="1" applyFont="1"/>
    <xf numFmtId="0" fontId="0" fillId="0" borderId="0" xfId="0" pivotButton="1"/>
    <xf numFmtId="0" fontId="0" fillId="0" borderId="0" xfId="0" applyAlignment="1">
      <alignment horizontal="left"/>
    </xf>
    <xf numFmtId="0" fontId="2" fillId="0" borderId="0" xfId="0" applyFont="1" applyAlignment="1">
      <alignment horizontal="center"/>
    </xf>
    <xf numFmtId="0" fontId="6" fillId="2" borderId="0" xfId="0" applyFont="1" applyFill="1" applyAlignment="1">
      <alignment horizontal="center"/>
    </xf>
    <xf numFmtId="0" fontId="1" fillId="0" borderId="1" xfId="0" applyFont="1" applyBorder="1" applyAlignment="1">
      <alignment horizontal="center" vertical="center" wrapText="1"/>
    </xf>
    <xf numFmtId="0" fontId="0" fillId="0" borderId="1" xfId="0" applyBorder="1" applyAlignment="1">
      <alignment vertical="center" wrapText="1"/>
    </xf>
    <xf numFmtId="0" fontId="0" fillId="3" borderId="1" xfId="0" applyFill="1" applyBorder="1" applyAlignment="1">
      <alignment vertical="center" wrapText="1"/>
    </xf>
    <xf numFmtId="0" fontId="0" fillId="0" borderId="1" xfId="0" applyFill="1" applyBorder="1" applyAlignment="1">
      <alignment vertical="center" wrapText="1"/>
    </xf>
    <xf numFmtId="0" fontId="0" fillId="4" borderId="1" xfId="0" applyFill="1" applyBorder="1" applyAlignment="1">
      <alignment vertical="center" wrapText="1"/>
    </xf>
    <xf numFmtId="0" fontId="0" fillId="0" borderId="0" xfId="0" applyNumberFormat="1"/>
    <xf numFmtId="0" fontId="0" fillId="5" borderId="0" xfId="0" applyFill="1"/>
    <xf numFmtId="0" fontId="0" fillId="0" borderId="0" xfId="0" applyAlignment="1">
      <alignment horizontal="center"/>
    </xf>
    <xf numFmtId="0" fontId="0" fillId="0" borderId="0" xfId="0" applyAlignment="1">
      <alignment horizontal="center" wrapText="1"/>
    </xf>
    <xf numFmtId="0" fontId="0" fillId="0" borderId="1" xfId="0" applyBorder="1"/>
    <xf numFmtId="0" fontId="7" fillId="0" borderId="1" xfId="0" applyFont="1" applyBorder="1"/>
    <xf numFmtId="0" fontId="0" fillId="6" borderId="2" xfId="0" applyFill="1" applyBorder="1"/>
    <xf numFmtId="0" fontId="0" fillId="6" borderId="1" xfId="0" applyFill="1" applyBorder="1"/>
    <xf numFmtId="0" fontId="0" fillId="7" borderId="2" xfId="0" applyFill="1" applyBorder="1"/>
    <xf numFmtId="0" fontId="0" fillId="7" borderId="1" xfId="0" applyFill="1" applyBorder="1"/>
    <xf numFmtId="0" fontId="0" fillId="0" borderId="3" xfId="0" applyBorder="1" applyAlignment="1">
      <alignment horizontal="center"/>
    </xf>
    <xf numFmtId="0" fontId="1" fillId="0" borderId="1" xfId="0" applyFont="1" applyBorder="1"/>
    <xf numFmtId="14" fontId="0" fillId="0" borderId="1" xfId="0" applyNumberFormat="1" applyBorder="1" applyAlignment="1">
      <alignment vertical="center" wrapText="1"/>
    </xf>
  </cellXfs>
  <cellStyles count="2">
    <cellStyle name="Normal" xfId="0" builtinId="0"/>
    <cellStyle name="Normal 2" xfId="1" xr:uid="{6CC2104F-EB4E-4AD6-B513-3863CFDF6E0A}"/>
  </cellStyles>
  <dxfs count="14">
    <dxf>
      <fill>
        <patternFill>
          <bgColor theme="5" tint="0.39994506668294322"/>
        </patternFill>
      </fill>
    </dxf>
    <dxf>
      <fill>
        <patternFill>
          <bgColor theme="9" tint="0.59996337778862885"/>
        </patternFill>
      </fill>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numFmt numFmtId="164" formatCode="yyyy\-mm\-dd"/>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i val="0"/>
        <strike val="0"/>
        <condense val="0"/>
        <extend val="0"/>
        <outline val="0"/>
        <shadow val="0"/>
        <u val="none"/>
        <vertAlign val="baseline"/>
        <sz val="10"/>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microsoft.com/office/2007/relationships/slicerCache" Target="slicerCaches/slicerCache4.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7/relationships/slicerCache" Target="slicerCaches/slicerCache3.xml"/><Relationship Id="rId25"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2.xml"/><Relationship Id="rId20" Type="http://schemas.microsoft.com/office/2007/relationships/slicerCache" Target="slicerCaches/slicerCache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sharedStrings" Target="sharedStrings.xml"/><Relationship Id="rId10" Type="http://schemas.openxmlformats.org/officeDocument/2006/relationships/worksheet" Target="worksheets/sheet10.xml"/><Relationship Id="rId19" Type="http://schemas.microsoft.com/office/2007/relationships/slicerCache" Target="slicerCaches/slicerCache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 excel(PRACTICAL QUESTIONS).xltm]sheet 7!PivotTable1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ACCIDENT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 7'!$B$3</c:f>
              <c:strCache>
                <c:ptCount val="1"/>
                <c:pt idx="0">
                  <c:v>Total</c:v>
                </c:pt>
              </c:strCache>
            </c:strRef>
          </c:tx>
          <c:spPr>
            <a:solidFill>
              <a:schemeClr val="accent1"/>
            </a:solidFill>
            <a:ln>
              <a:noFill/>
            </a:ln>
            <a:effectLst/>
          </c:spPr>
          <c:invertIfNegative val="0"/>
          <c:cat>
            <c:strRef>
              <c:f>'sheet 7'!$A$4:$A$12</c:f>
              <c:strCache>
                <c:ptCount val="8"/>
                <c:pt idx="0">
                  <c:v>Ahmedabad</c:v>
                </c:pt>
                <c:pt idx="1">
                  <c:v>Bangalore</c:v>
                </c:pt>
                <c:pt idx="2">
                  <c:v>Chennai</c:v>
                </c:pt>
                <c:pt idx="3">
                  <c:v>Delhi</c:v>
                </c:pt>
                <c:pt idx="4">
                  <c:v>Hyderabad</c:v>
                </c:pt>
                <c:pt idx="5">
                  <c:v>Kolkata</c:v>
                </c:pt>
                <c:pt idx="6">
                  <c:v>Mumbai</c:v>
                </c:pt>
                <c:pt idx="7">
                  <c:v>Pune</c:v>
                </c:pt>
              </c:strCache>
            </c:strRef>
          </c:cat>
          <c:val>
            <c:numRef>
              <c:f>'sheet 7'!$B$4:$B$12</c:f>
              <c:numCache>
                <c:formatCode>General</c:formatCode>
                <c:ptCount val="8"/>
                <c:pt idx="0">
                  <c:v>9</c:v>
                </c:pt>
                <c:pt idx="1">
                  <c:v>14</c:v>
                </c:pt>
                <c:pt idx="2">
                  <c:v>12</c:v>
                </c:pt>
                <c:pt idx="3">
                  <c:v>9</c:v>
                </c:pt>
                <c:pt idx="4">
                  <c:v>17</c:v>
                </c:pt>
                <c:pt idx="5">
                  <c:v>13</c:v>
                </c:pt>
                <c:pt idx="6">
                  <c:v>15</c:v>
                </c:pt>
                <c:pt idx="7">
                  <c:v>11</c:v>
                </c:pt>
              </c:numCache>
            </c:numRef>
          </c:val>
          <c:extLst>
            <c:ext xmlns:c16="http://schemas.microsoft.com/office/drawing/2014/chart" uri="{C3380CC4-5D6E-409C-BE32-E72D297353CC}">
              <c16:uniqueId val="{00000000-891B-4476-A60B-F0529F99C756}"/>
            </c:ext>
          </c:extLst>
        </c:ser>
        <c:dLbls>
          <c:showLegendKey val="0"/>
          <c:showVal val="0"/>
          <c:showCatName val="0"/>
          <c:showSerName val="0"/>
          <c:showPercent val="0"/>
          <c:showBubbleSize val="0"/>
        </c:dLbls>
        <c:gapWidth val="219"/>
        <c:overlap val="-27"/>
        <c:axId val="1843794448"/>
        <c:axId val="1843783408"/>
      </c:barChart>
      <c:catAx>
        <c:axId val="1843794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3783408"/>
        <c:crosses val="autoZero"/>
        <c:auto val="1"/>
        <c:lblAlgn val="ctr"/>
        <c:lblOffset val="100"/>
        <c:noMultiLvlLbl val="0"/>
      </c:catAx>
      <c:valAx>
        <c:axId val="1843783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3794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 excel(PRACTICAL QUESTIONS).xltm]Sheet5!PivotTable2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ACCIDENT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095910088744922"/>
          <c:y val="0.13971405697728204"/>
          <c:w val="0.73546927605519308"/>
          <c:h val="0.79612369544936812"/>
        </c:manualLayout>
      </c:layout>
      <c:barChart>
        <c:barDir val="bar"/>
        <c:grouping val="clustered"/>
        <c:varyColors val="0"/>
        <c:ser>
          <c:idx val="0"/>
          <c:order val="0"/>
          <c:tx>
            <c:strRef>
              <c:f>Sheet5!$B$3</c:f>
              <c:strCache>
                <c:ptCount val="1"/>
                <c:pt idx="0">
                  <c:v>Total</c:v>
                </c:pt>
              </c:strCache>
            </c:strRef>
          </c:tx>
          <c:spPr>
            <a:solidFill>
              <a:schemeClr val="accent1"/>
            </a:solidFill>
            <a:ln>
              <a:noFill/>
            </a:ln>
            <a:effectLst/>
          </c:spPr>
          <c:invertIfNegative val="0"/>
          <c:cat>
            <c:strRef>
              <c:f>Sheet5!$A$4:$A$10</c:f>
              <c:strCache>
                <c:ptCount val="6"/>
                <c:pt idx="0">
                  <c:v>Brake Failure</c:v>
                </c:pt>
                <c:pt idx="1">
                  <c:v>Distracted Driving</c:v>
                </c:pt>
                <c:pt idx="2">
                  <c:v>Drunk Driving</c:v>
                </c:pt>
                <c:pt idx="3">
                  <c:v>Overtaking</c:v>
                </c:pt>
                <c:pt idx="4">
                  <c:v>Speeding</c:v>
                </c:pt>
                <c:pt idx="5">
                  <c:v>Weather</c:v>
                </c:pt>
              </c:strCache>
            </c:strRef>
          </c:cat>
          <c:val>
            <c:numRef>
              <c:f>Sheet5!$B$4:$B$10</c:f>
              <c:numCache>
                <c:formatCode>General</c:formatCode>
                <c:ptCount val="6"/>
                <c:pt idx="0">
                  <c:v>15</c:v>
                </c:pt>
                <c:pt idx="1">
                  <c:v>14</c:v>
                </c:pt>
                <c:pt idx="2">
                  <c:v>20</c:v>
                </c:pt>
                <c:pt idx="3">
                  <c:v>17</c:v>
                </c:pt>
                <c:pt idx="4">
                  <c:v>20</c:v>
                </c:pt>
                <c:pt idx="5">
                  <c:v>14</c:v>
                </c:pt>
              </c:numCache>
            </c:numRef>
          </c:val>
          <c:extLst>
            <c:ext xmlns:c16="http://schemas.microsoft.com/office/drawing/2014/chart" uri="{C3380CC4-5D6E-409C-BE32-E72D297353CC}">
              <c16:uniqueId val="{00000000-BDBB-45F3-8C77-4CB37AA37C0E}"/>
            </c:ext>
          </c:extLst>
        </c:ser>
        <c:dLbls>
          <c:showLegendKey val="0"/>
          <c:showVal val="0"/>
          <c:showCatName val="0"/>
          <c:showSerName val="0"/>
          <c:showPercent val="0"/>
          <c:showBubbleSize val="0"/>
        </c:dLbls>
        <c:gapWidth val="182"/>
        <c:axId val="2061376592"/>
        <c:axId val="2061380432"/>
      </c:barChart>
      <c:catAx>
        <c:axId val="20613765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1380432"/>
        <c:crosses val="autoZero"/>
        <c:auto val="1"/>
        <c:lblAlgn val="ctr"/>
        <c:lblOffset val="100"/>
        <c:noMultiLvlLbl val="0"/>
      </c:catAx>
      <c:valAx>
        <c:axId val="20613804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13765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 excel(PRACTICAL QUESTIONS).xltm]Sheet4!PivotTable1</c:name>
    <c:fmtId val="11"/>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Total ACCIDENT</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Sheet4!$B$3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5693-4565-90FA-D16D8E7193EC}"/>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5693-4565-90FA-D16D8E7193EC}"/>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5693-4565-90FA-D16D8E7193EC}"/>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5693-4565-90FA-D16D8E7193EC}"/>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Sheet4!$A$4:$A$8</c:f>
              <c:strCache>
                <c:ptCount val="4"/>
                <c:pt idx="0">
                  <c:v>Fatal</c:v>
                </c:pt>
                <c:pt idx="1">
                  <c:v>Minor</c:v>
                </c:pt>
                <c:pt idx="2">
                  <c:v>Moderate</c:v>
                </c:pt>
                <c:pt idx="3">
                  <c:v>Severe</c:v>
                </c:pt>
              </c:strCache>
            </c:strRef>
          </c:cat>
          <c:val>
            <c:numRef>
              <c:f>Sheet4!$B$4:$B$8</c:f>
              <c:numCache>
                <c:formatCode>General</c:formatCode>
                <c:ptCount val="4"/>
                <c:pt idx="0">
                  <c:v>24</c:v>
                </c:pt>
                <c:pt idx="1">
                  <c:v>26</c:v>
                </c:pt>
                <c:pt idx="2">
                  <c:v>22</c:v>
                </c:pt>
                <c:pt idx="3">
                  <c:v>28</c:v>
                </c:pt>
              </c:numCache>
            </c:numRef>
          </c:val>
          <c:extLst>
            <c:ext xmlns:c16="http://schemas.microsoft.com/office/drawing/2014/chart" uri="{C3380CC4-5D6E-409C-BE32-E72D297353CC}">
              <c16:uniqueId val="{00000008-5693-4565-90FA-D16D8E7193EC}"/>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 excel(PRACTICAL QUESTIONS).xltm]Sheet6!PivotTable3</c:name>
    <c:fmtId val="4"/>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Total ACCIDENT</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7.5649229484944541E-2"/>
          <c:y val="0.19134971573075993"/>
          <c:w val="0.64563812299249546"/>
          <c:h val="0.71872518592850576"/>
        </c:manualLayout>
      </c:layout>
      <c:doughnutChart>
        <c:varyColors val="1"/>
        <c:ser>
          <c:idx val="0"/>
          <c:order val="0"/>
          <c:tx>
            <c:strRef>
              <c:f>Sheet6!$B$3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FC4C-46D4-88D2-B47F2259629F}"/>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FC4C-46D4-88D2-B47F2259629F}"/>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FC4C-46D4-88D2-B47F2259629F}"/>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FC4C-46D4-88D2-B47F2259629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Sheet6!$A$4:$A$8</c:f>
              <c:strCache>
                <c:ptCount val="4"/>
                <c:pt idx="0">
                  <c:v>Damaged</c:v>
                </c:pt>
                <c:pt idx="1">
                  <c:v>Dry</c:v>
                </c:pt>
                <c:pt idx="2">
                  <c:v>Under Construction</c:v>
                </c:pt>
                <c:pt idx="3">
                  <c:v>Wet</c:v>
                </c:pt>
              </c:strCache>
            </c:strRef>
          </c:cat>
          <c:val>
            <c:numRef>
              <c:f>Sheet6!$B$4:$B$8</c:f>
              <c:numCache>
                <c:formatCode>General</c:formatCode>
                <c:ptCount val="4"/>
                <c:pt idx="0">
                  <c:v>27</c:v>
                </c:pt>
                <c:pt idx="1">
                  <c:v>23</c:v>
                </c:pt>
                <c:pt idx="2">
                  <c:v>28</c:v>
                </c:pt>
                <c:pt idx="3">
                  <c:v>22</c:v>
                </c:pt>
              </c:numCache>
            </c:numRef>
          </c:val>
          <c:extLst>
            <c:ext xmlns:c16="http://schemas.microsoft.com/office/drawing/2014/chart" uri="{C3380CC4-5D6E-409C-BE32-E72D297353CC}">
              <c16:uniqueId val="{00000008-FC4C-46D4-88D2-B47F2259629F}"/>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 excel(PRACTICAL QUESTIONS).xltm]sheet 7!PivotTable1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 7'!$B$3</c:f>
              <c:strCache>
                <c:ptCount val="1"/>
                <c:pt idx="0">
                  <c:v>Total</c:v>
                </c:pt>
              </c:strCache>
            </c:strRef>
          </c:tx>
          <c:spPr>
            <a:solidFill>
              <a:schemeClr val="accent1"/>
            </a:solidFill>
            <a:ln>
              <a:noFill/>
            </a:ln>
            <a:effectLst/>
          </c:spPr>
          <c:invertIfNegative val="0"/>
          <c:cat>
            <c:strRef>
              <c:f>'sheet 7'!$A$4:$A$12</c:f>
              <c:strCache>
                <c:ptCount val="8"/>
                <c:pt idx="0">
                  <c:v>Ahmedabad</c:v>
                </c:pt>
                <c:pt idx="1">
                  <c:v>Bangalore</c:v>
                </c:pt>
                <c:pt idx="2">
                  <c:v>Chennai</c:v>
                </c:pt>
                <c:pt idx="3">
                  <c:v>Delhi</c:v>
                </c:pt>
                <c:pt idx="4">
                  <c:v>Hyderabad</c:v>
                </c:pt>
                <c:pt idx="5">
                  <c:v>Kolkata</c:v>
                </c:pt>
                <c:pt idx="6">
                  <c:v>Mumbai</c:v>
                </c:pt>
                <c:pt idx="7">
                  <c:v>Pune</c:v>
                </c:pt>
              </c:strCache>
            </c:strRef>
          </c:cat>
          <c:val>
            <c:numRef>
              <c:f>'sheet 7'!$B$4:$B$12</c:f>
              <c:numCache>
                <c:formatCode>General</c:formatCode>
                <c:ptCount val="8"/>
                <c:pt idx="0">
                  <c:v>9</c:v>
                </c:pt>
                <c:pt idx="1">
                  <c:v>14</c:v>
                </c:pt>
                <c:pt idx="2">
                  <c:v>12</c:v>
                </c:pt>
                <c:pt idx="3">
                  <c:v>9</c:v>
                </c:pt>
                <c:pt idx="4">
                  <c:v>17</c:v>
                </c:pt>
                <c:pt idx="5">
                  <c:v>13</c:v>
                </c:pt>
                <c:pt idx="6">
                  <c:v>15</c:v>
                </c:pt>
                <c:pt idx="7">
                  <c:v>11</c:v>
                </c:pt>
              </c:numCache>
            </c:numRef>
          </c:val>
          <c:extLst>
            <c:ext xmlns:c16="http://schemas.microsoft.com/office/drawing/2014/chart" uri="{C3380CC4-5D6E-409C-BE32-E72D297353CC}">
              <c16:uniqueId val="{00000000-4FF1-4DE9-BF5F-76C1E835DDA2}"/>
            </c:ext>
          </c:extLst>
        </c:ser>
        <c:dLbls>
          <c:showLegendKey val="0"/>
          <c:showVal val="0"/>
          <c:showCatName val="0"/>
          <c:showSerName val="0"/>
          <c:showPercent val="0"/>
          <c:showBubbleSize val="0"/>
        </c:dLbls>
        <c:gapWidth val="219"/>
        <c:overlap val="-27"/>
        <c:axId val="1843794448"/>
        <c:axId val="1843783408"/>
      </c:barChart>
      <c:catAx>
        <c:axId val="1843794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3783408"/>
        <c:crosses val="autoZero"/>
        <c:auto val="1"/>
        <c:lblAlgn val="ctr"/>
        <c:lblOffset val="100"/>
        <c:noMultiLvlLbl val="0"/>
      </c:catAx>
      <c:valAx>
        <c:axId val="1843783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3794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 excel(PRACTICAL QUESTIONS).xltm]Sheet4!PivotTable1</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Sheet4!$B$3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E9DD-421A-8ACF-7F2F3419BE4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E9DD-421A-8ACF-7F2F3419BE4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E9DD-421A-8ACF-7F2F3419BE4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E9DD-421A-8ACF-7F2F3419BE42}"/>
              </c:ext>
            </c:extLst>
          </c:dPt>
          <c:cat>
            <c:strRef>
              <c:f>Sheet4!$A$4:$A$8</c:f>
              <c:strCache>
                <c:ptCount val="4"/>
                <c:pt idx="0">
                  <c:v>Fatal</c:v>
                </c:pt>
                <c:pt idx="1">
                  <c:v>Minor</c:v>
                </c:pt>
                <c:pt idx="2">
                  <c:v>Moderate</c:v>
                </c:pt>
                <c:pt idx="3">
                  <c:v>Severe</c:v>
                </c:pt>
              </c:strCache>
            </c:strRef>
          </c:cat>
          <c:val>
            <c:numRef>
              <c:f>Sheet4!$B$4:$B$8</c:f>
              <c:numCache>
                <c:formatCode>General</c:formatCode>
                <c:ptCount val="4"/>
                <c:pt idx="0">
                  <c:v>24</c:v>
                </c:pt>
                <c:pt idx="1">
                  <c:v>26</c:v>
                </c:pt>
                <c:pt idx="2">
                  <c:v>22</c:v>
                </c:pt>
                <c:pt idx="3">
                  <c:v>28</c:v>
                </c:pt>
              </c:numCache>
            </c:numRef>
          </c:val>
          <c:extLst>
            <c:ext xmlns:c16="http://schemas.microsoft.com/office/drawing/2014/chart" uri="{C3380CC4-5D6E-409C-BE32-E72D297353CC}">
              <c16:uniqueId val="{00000002-5B52-4C20-9C92-AED4B362ECD7}"/>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 excel(PRACTICAL QUESTIONS).xltm]Sheet5!PivotTable2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Sheet5!$B$3</c:f>
              <c:strCache>
                <c:ptCount val="1"/>
                <c:pt idx="0">
                  <c:v>Total</c:v>
                </c:pt>
              </c:strCache>
            </c:strRef>
          </c:tx>
          <c:spPr>
            <a:solidFill>
              <a:schemeClr val="accent1"/>
            </a:solidFill>
            <a:ln>
              <a:noFill/>
            </a:ln>
            <a:effectLst/>
          </c:spPr>
          <c:invertIfNegative val="0"/>
          <c:cat>
            <c:strRef>
              <c:f>Sheet5!$A$4:$A$10</c:f>
              <c:strCache>
                <c:ptCount val="6"/>
                <c:pt idx="0">
                  <c:v>Brake Failure</c:v>
                </c:pt>
                <c:pt idx="1">
                  <c:v>Distracted Driving</c:v>
                </c:pt>
                <c:pt idx="2">
                  <c:v>Drunk Driving</c:v>
                </c:pt>
                <c:pt idx="3">
                  <c:v>Overtaking</c:v>
                </c:pt>
                <c:pt idx="4">
                  <c:v>Speeding</c:v>
                </c:pt>
                <c:pt idx="5">
                  <c:v>Weather</c:v>
                </c:pt>
              </c:strCache>
            </c:strRef>
          </c:cat>
          <c:val>
            <c:numRef>
              <c:f>Sheet5!$B$4:$B$10</c:f>
              <c:numCache>
                <c:formatCode>General</c:formatCode>
                <c:ptCount val="6"/>
                <c:pt idx="0">
                  <c:v>15</c:v>
                </c:pt>
                <c:pt idx="1">
                  <c:v>14</c:v>
                </c:pt>
                <c:pt idx="2">
                  <c:v>20</c:v>
                </c:pt>
                <c:pt idx="3">
                  <c:v>17</c:v>
                </c:pt>
                <c:pt idx="4">
                  <c:v>20</c:v>
                </c:pt>
                <c:pt idx="5">
                  <c:v>14</c:v>
                </c:pt>
              </c:numCache>
            </c:numRef>
          </c:val>
          <c:extLst>
            <c:ext xmlns:c16="http://schemas.microsoft.com/office/drawing/2014/chart" uri="{C3380CC4-5D6E-409C-BE32-E72D297353CC}">
              <c16:uniqueId val="{00000000-1A83-415A-B026-812A3C03055E}"/>
            </c:ext>
          </c:extLst>
        </c:ser>
        <c:dLbls>
          <c:showLegendKey val="0"/>
          <c:showVal val="0"/>
          <c:showCatName val="0"/>
          <c:showSerName val="0"/>
          <c:showPercent val="0"/>
          <c:showBubbleSize val="0"/>
        </c:dLbls>
        <c:gapWidth val="182"/>
        <c:axId val="2061376592"/>
        <c:axId val="2061380432"/>
      </c:barChart>
      <c:catAx>
        <c:axId val="20613765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1380432"/>
        <c:crosses val="autoZero"/>
        <c:auto val="1"/>
        <c:lblAlgn val="ctr"/>
        <c:lblOffset val="100"/>
        <c:noMultiLvlLbl val="0"/>
      </c:catAx>
      <c:valAx>
        <c:axId val="20613804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13765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 excel(PRACTICAL QUESTIONS).xltm]Sheet6!PivotTable3</c:name>
    <c:fmtId val="0"/>
  </c:pivotSource>
  <c:chart>
    <c:title>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Sheet6!$B$3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5600-4E49-AE4F-2E7E666B1F88}"/>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5600-4E49-AE4F-2E7E666B1F88}"/>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5600-4E49-AE4F-2E7E666B1F88}"/>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5600-4E49-AE4F-2E7E666B1F8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Sheet6!$A$4:$A$8</c:f>
              <c:strCache>
                <c:ptCount val="4"/>
                <c:pt idx="0">
                  <c:v>Damaged</c:v>
                </c:pt>
                <c:pt idx="1">
                  <c:v>Dry</c:v>
                </c:pt>
                <c:pt idx="2">
                  <c:v>Under Construction</c:v>
                </c:pt>
                <c:pt idx="3">
                  <c:v>Wet</c:v>
                </c:pt>
              </c:strCache>
            </c:strRef>
          </c:cat>
          <c:val>
            <c:numRef>
              <c:f>Sheet6!$B$4:$B$8</c:f>
              <c:numCache>
                <c:formatCode>General</c:formatCode>
                <c:ptCount val="4"/>
                <c:pt idx="0">
                  <c:v>27</c:v>
                </c:pt>
                <c:pt idx="1">
                  <c:v>23</c:v>
                </c:pt>
                <c:pt idx="2">
                  <c:v>28</c:v>
                </c:pt>
                <c:pt idx="3">
                  <c:v>22</c:v>
                </c:pt>
              </c:numCache>
            </c:numRef>
          </c:val>
          <c:extLst>
            <c:ext xmlns:c16="http://schemas.microsoft.com/office/drawing/2014/chart" uri="{C3380CC4-5D6E-409C-BE32-E72D297353CC}">
              <c16:uniqueId val="{00000000-0AC3-41AC-BEB5-7A6CECFED0A0}"/>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21167</xdr:colOff>
      <xdr:row>3</xdr:row>
      <xdr:rowOff>109242</xdr:rowOff>
    </xdr:from>
    <xdr:to>
      <xdr:col>11</xdr:col>
      <xdr:colOff>329045</xdr:colOff>
      <xdr:row>27</xdr:row>
      <xdr:rowOff>51955</xdr:rowOff>
    </xdr:to>
    <xdr:graphicFrame macro="">
      <xdr:nvGraphicFramePr>
        <xdr:cNvPr id="3" name="Chart 2">
          <a:extLst>
            <a:ext uri="{FF2B5EF4-FFF2-40B4-BE49-F238E27FC236}">
              <a16:creationId xmlns:a16="http://schemas.microsoft.com/office/drawing/2014/main" id="{A229C67B-3C32-40DE-AFEE-0B8797936F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305340</xdr:colOff>
      <xdr:row>28</xdr:row>
      <xdr:rowOff>40461</xdr:rowOff>
    </xdr:from>
    <xdr:to>
      <xdr:col>25</xdr:col>
      <xdr:colOff>203575</xdr:colOff>
      <xdr:row>54</xdr:row>
      <xdr:rowOff>71211</xdr:rowOff>
    </xdr:to>
    <xdr:graphicFrame macro="">
      <xdr:nvGraphicFramePr>
        <xdr:cNvPr id="5" name="Chart 4">
          <a:extLst>
            <a:ext uri="{FF2B5EF4-FFF2-40B4-BE49-F238E27FC236}">
              <a16:creationId xmlns:a16="http://schemas.microsoft.com/office/drawing/2014/main" id="{9B54FC17-4974-4094-9D12-2D12FF6E57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467591</xdr:colOff>
      <xdr:row>3</xdr:row>
      <xdr:rowOff>26796</xdr:rowOff>
    </xdr:from>
    <xdr:to>
      <xdr:col>27</xdr:col>
      <xdr:colOff>52552</xdr:colOff>
      <xdr:row>26</xdr:row>
      <xdr:rowOff>52552</xdr:rowOff>
    </xdr:to>
    <xdr:graphicFrame macro="">
      <xdr:nvGraphicFramePr>
        <xdr:cNvPr id="7" name="Chart 6">
          <a:extLst>
            <a:ext uri="{FF2B5EF4-FFF2-40B4-BE49-F238E27FC236}">
              <a16:creationId xmlns:a16="http://schemas.microsoft.com/office/drawing/2014/main" id="{857F7D81-2F77-4B2E-9185-5534AC989A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277091</xdr:colOff>
      <xdr:row>27</xdr:row>
      <xdr:rowOff>177849</xdr:rowOff>
    </xdr:from>
    <xdr:to>
      <xdr:col>10</xdr:col>
      <xdr:colOff>51953</xdr:colOff>
      <xdr:row>55</xdr:row>
      <xdr:rowOff>86590</xdr:rowOff>
    </xdr:to>
    <xdr:graphicFrame macro="">
      <xdr:nvGraphicFramePr>
        <xdr:cNvPr id="8" name="Chart 7">
          <a:extLst>
            <a:ext uri="{FF2B5EF4-FFF2-40B4-BE49-F238E27FC236}">
              <a16:creationId xmlns:a16="http://schemas.microsoft.com/office/drawing/2014/main" id="{765E8C37-6EC9-487A-8E90-B7EEFF3C80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27</xdr:col>
      <xdr:colOff>263940</xdr:colOff>
      <xdr:row>7</xdr:row>
      <xdr:rowOff>73878</xdr:rowOff>
    </xdr:from>
    <xdr:to>
      <xdr:col>36</xdr:col>
      <xdr:colOff>475309</xdr:colOff>
      <xdr:row>39</xdr:row>
      <xdr:rowOff>14710</xdr:rowOff>
    </xdr:to>
    <mc:AlternateContent xmlns:mc="http://schemas.openxmlformats.org/markup-compatibility/2006">
      <mc:Choice xmlns:a14="http://schemas.microsoft.com/office/drawing/2010/main" Requires="a14">
        <xdr:graphicFrame macro="">
          <xdr:nvGraphicFramePr>
            <xdr:cNvPr id="6" name="Accident ID 1">
              <a:extLst>
                <a:ext uri="{FF2B5EF4-FFF2-40B4-BE49-F238E27FC236}">
                  <a16:creationId xmlns:a16="http://schemas.microsoft.com/office/drawing/2014/main" id="{F819769D-059F-4F52-9DD9-A83D7FEC1865}"/>
                </a:ext>
              </a:extLst>
            </xdr:cNvPr>
            <xdr:cNvGraphicFramePr/>
          </xdr:nvGraphicFramePr>
          <xdr:xfrm>
            <a:off x="0" y="0"/>
            <a:ext cx="0" cy="0"/>
          </xdr:xfrm>
          <a:graphic>
            <a:graphicData uri="http://schemas.microsoft.com/office/drawing/2010/slicer">
              <sle:slicer xmlns:sle="http://schemas.microsoft.com/office/drawing/2010/slicer" name="Accident ID 1"/>
            </a:graphicData>
          </a:graphic>
        </xdr:graphicFrame>
      </mc:Choice>
      <mc:Fallback>
        <xdr:sp macro="" textlink="">
          <xdr:nvSpPr>
            <xdr:cNvPr id="0" name=""/>
            <xdr:cNvSpPr>
              <a:spLocks noTextEdit="1"/>
            </xdr:cNvSpPr>
          </xdr:nvSpPr>
          <xdr:spPr>
            <a:xfrm>
              <a:off x="16796619" y="1312128"/>
              <a:ext cx="5722261" cy="560140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27</xdr:col>
      <xdr:colOff>190508</xdr:colOff>
      <xdr:row>40</xdr:row>
      <xdr:rowOff>8824</xdr:rowOff>
    </xdr:from>
    <xdr:to>
      <xdr:col>31</xdr:col>
      <xdr:colOff>513890</xdr:colOff>
      <xdr:row>50</xdr:row>
      <xdr:rowOff>159925</xdr:rowOff>
    </xdr:to>
    <mc:AlternateContent xmlns:mc="http://schemas.openxmlformats.org/markup-compatibility/2006">
      <mc:Choice xmlns:a14="http://schemas.microsoft.com/office/drawing/2010/main" Requires="a14">
        <xdr:graphicFrame macro="">
          <xdr:nvGraphicFramePr>
            <xdr:cNvPr id="15" name="Cause 1">
              <a:extLst>
                <a:ext uri="{FF2B5EF4-FFF2-40B4-BE49-F238E27FC236}">
                  <a16:creationId xmlns:a16="http://schemas.microsoft.com/office/drawing/2014/main" id="{948099A2-76D8-4F4F-BCA3-23120145CBBD}"/>
                </a:ext>
              </a:extLst>
            </xdr:cNvPr>
            <xdr:cNvGraphicFramePr/>
          </xdr:nvGraphicFramePr>
          <xdr:xfrm>
            <a:off x="0" y="0"/>
            <a:ext cx="0" cy="0"/>
          </xdr:xfrm>
          <a:graphic>
            <a:graphicData uri="http://schemas.microsoft.com/office/drawing/2010/slicer">
              <sle:slicer xmlns:sle="http://schemas.microsoft.com/office/drawing/2010/slicer" name="Cause 1"/>
            </a:graphicData>
          </a:graphic>
        </xdr:graphicFrame>
      </mc:Choice>
      <mc:Fallback>
        <xdr:sp macro="" textlink="">
          <xdr:nvSpPr>
            <xdr:cNvPr id="0" name=""/>
            <xdr:cNvSpPr>
              <a:spLocks noTextEdit="1"/>
            </xdr:cNvSpPr>
          </xdr:nvSpPr>
          <xdr:spPr>
            <a:xfrm>
              <a:off x="16723187" y="7084538"/>
              <a:ext cx="2772667" cy="192003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32</xdr:col>
      <xdr:colOff>331282</xdr:colOff>
      <xdr:row>40</xdr:row>
      <xdr:rowOff>65769</xdr:rowOff>
    </xdr:from>
    <xdr:to>
      <xdr:col>35</xdr:col>
      <xdr:colOff>337908</xdr:colOff>
      <xdr:row>54</xdr:row>
      <xdr:rowOff>117302</xdr:rowOff>
    </xdr:to>
    <mc:AlternateContent xmlns:mc="http://schemas.openxmlformats.org/markup-compatibility/2006">
      <mc:Choice xmlns:a14="http://schemas.microsoft.com/office/drawing/2010/main" Requires="a14">
        <xdr:graphicFrame macro="">
          <xdr:nvGraphicFramePr>
            <xdr:cNvPr id="16" name="Location 1">
              <a:extLst>
                <a:ext uri="{FF2B5EF4-FFF2-40B4-BE49-F238E27FC236}">
                  <a16:creationId xmlns:a16="http://schemas.microsoft.com/office/drawing/2014/main" id="{1C80C04C-41F1-4704-8434-392874C84328}"/>
                </a:ext>
              </a:extLst>
            </xdr:cNvPr>
            <xdr:cNvGraphicFramePr/>
          </xdr:nvGraphicFramePr>
          <xdr:xfrm>
            <a:off x="0" y="0"/>
            <a:ext cx="0" cy="0"/>
          </xdr:xfrm>
          <a:graphic>
            <a:graphicData uri="http://schemas.microsoft.com/office/drawing/2010/slicer">
              <sle:slicer xmlns:sle="http://schemas.microsoft.com/office/drawing/2010/slicer" name="Location 1"/>
            </a:graphicData>
          </a:graphic>
        </xdr:graphicFrame>
      </mc:Choice>
      <mc:Fallback>
        <xdr:sp macro="" textlink="">
          <xdr:nvSpPr>
            <xdr:cNvPr id="0" name=""/>
            <xdr:cNvSpPr>
              <a:spLocks noTextEdit="1"/>
            </xdr:cNvSpPr>
          </xdr:nvSpPr>
          <xdr:spPr>
            <a:xfrm>
              <a:off x="19925568" y="7141483"/>
              <a:ext cx="1843590" cy="252803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27</xdr:col>
      <xdr:colOff>325496</xdr:colOff>
      <xdr:row>1</xdr:row>
      <xdr:rowOff>79623</xdr:rowOff>
    </xdr:from>
    <xdr:to>
      <xdr:col>34</xdr:col>
      <xdr:colOff>77930</xdr:colOff>
      <xdr:row>7</xdr:row>
      <xdr:rowOff>36358</xdr:rowOff>
    </xdr:to>
    <mc:AlternateContent xmlns:mc="http://schemas.openxmlformats.org/markup-compatibility/2006">
      <mc:Choice xmlns:a14="http://schemas.microsoft.com/office/drawing/2010/main" Requires="a14">
        <xdr:graphicFrame macro="">
          <xdr:nvGraphicFramePr>
            <xdr:cNvPr id="18" name="Severity 1">
              <a:extLst>
                <a:ext uri="{FF2B5EF4-FFF2-40B4-BE49-F238E27FC236}">
                  <a16:creationId xmlns:a16="http://schemas.microsoft.com/office/drawing/2014/main" id="{8CEA6768-0320-4C22-B392-7B84B8D69EE6}"/>
                </a:ext>
              </a:extLst>
            </xdr:cNvPr>
            <xdr:cNvGraphicFramePr/>
          </xdr:nvGraphicFramePr>
          <xdr:xfrm>
            <a:off x="0" y="0"/>
            <a:ext cx="0" cy="0"/>
          </xdr:xfrm>
          <a:graphic>
            <a:graphicData uri="http://schemas.microsoft.com/office/drawing/2010/slicer">
              <sle:slicer xmlns:sle="http://schemas.microsoft.com/office/drawing/2010/slicer" name="Severity 1"/>
            </a:graphicData>
          </a:graphic>
        </xdr:graphicFrame>
      </mc:Choice>
      <mc:Fallback>
        <xdr:sp macro="" textlink="">
          <xdr:nvSpPr>
            <xdr:cNvPr id="0" name=""/>
            <xdr:cNvSpPr>
              <a:spLocks noTextEdit="1"/>
            </xdr:cNvSpPr>
          </xdr:nvSpPr>
          <xdr:spPr>
            <a:xfrm>
              <a:off x="16858175" y="256516"/>
              <a:ext cx="4038684" cy="101809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34</xdr:col>
      <xdr:colOff>216320</xdr:colOff>
      <xdr:row>1</xdr:row>
      <xdr:rowOff>67064</xdr:rowOff>
    </xdr:from>
    <xdr:to>
      <xdr:col>39</xdr:col>
      <xdr:colOff>396100</xdr:colOff>
      <xdr:row>6</xdr:row>
      <xdr:rowOff>142288</xdr:rowOff>
    </xdr:to>
    <mc:AlternateContent xmlns:mc="http://schemas.openxmlformats.org/markup-compatibility/2006">
      <mc:Choice xmlns:a14="http://schemas.microsoft.com/office/drawing/2010/main" Requires="a14">
        <xdr:graphicFrame macro="">
          <xdr:nvGraphicFramePr>
            <xdr:cNvPr id="19" name="Road Condition 1">
              <a:extLst>
                <a:ext uri="{FF2B5EF4-FFF2-40B4-BE49-F238E27FC236}">
                  <a16:creationId xmlns:a16="http://schemas.microsoft.com/office/drawing/2014/main" id="{1F531A27-74AE-4F05-A3D7-A70AA2493BA5}"/>
                </a:ext>
              </a:extLst>
            </xdr:cNvPr>
            <xdr:cNvGraphicFramePr/>
          </xdr:nvGraphicFramePr>
          <xdr:xfrm>
            <a:off x="0" y="0"/>
            <a:ext cx="0" cy="0"/>
          </xdr:xfrm>
          <a:graphic>
            <a:graphicData uri="http://schemas.microsoft.com/office/drawing/2010/slicer">
              <sle:slicer xmlns:sle="http://schemas.microsoft.com/office/drawing/2010/slicer" name="Road Condition 1"/>
            </a:graphicData>
          </a:graphic>
        </xdr:graphicFrame>
      </mc:Choice>
      <mc:Fallback>
        <xdr:sp macro="" textlink="">
          <xdr:nvSpPr>
            <xdr:cNvPr id="0" name=""/>
            <xdr:cNvSpPr>
              <a:spLocks noTextEdit="1"/>
            </xdr:cNvSpPr>
          </xdr:nvSpPr>
          <xdr:spPr>
            <a:xfrm>
              <a:off x="21035249" y="243957"/>
              <a:ext cx="3241387" cy="95968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37</xdr:col>
      <xdr:colOff>39695</xdr:colOff>
      <xdr:row>7</xdr:row>
      <xdr:rowOff>40141</xdr:rowOff>
    </xdr:from>
    <xdr:to>
      <xdr:col>43</xdr:col>
      <xdr:colOff>371186</xdr:colOff>
      <xdr:row>48</xdr:row>
      <xdr:rowOff>67284</xdr:rowOff>
    </xdr:to>
    <mc:AlternateContent xmlns:mc="http://schemas.openxmlformats.org/markup-compatibility/2006">
      <mc:Choice xmlns:a14="http://schemas.microsoft.com/office/drawing/2010/main" Requires="a14">
        <xdr:graphicFrame macro="">
          <xdr:nvGraphicFramePr>
            <xdr:cNvPr id="20" name="Date 3">
              <a:extLst>
                <a:ext uri="{FF2B5EF4-FFF2-40B4-BE49-F238E27FC236}">
                  <a16:creationId xmlns:a16="http://schemas.microsoft.com/office/drawing/2014/main" id="{E5C9926E-0213-49E3-9E5D-6054F50D21D0}"/>
                </a:ext>
              </a:extLst>
            </xdr:cNvPr>
            <xdr:cNvGraphicFramePr/>
          </xdr:nvGraphicFramePr>
          <xdr:xfrm>
            <a:off x="0" y="0"/>
            <a:ext cx="0" cy="0"/>
          </xdr:xfrm>
          <a:graphic>
            <a:graphicData uri="http://schemas.microsoft.com/office/drawing/2010/slicer">
              <sle:slicer xmlns:sle="http://schemas.microsoft.com/office/drawing/2010/slicer" name="Date 3"/>
            </a:graphicData>
          </a:graphic>
        </xdr:graphicFrame>
      </mc:Choice>
      <mc:Fallback>
        <xdr:sp macro="" textlink="">
          <xdr:nvSpPr>
            <xdr:cNvPr id="0" name=""/>
            <xdr:cNvSpPr>
              <a:spLocks noTextEdit="1"/>
            </xdr:cNvSpPr>
          </xdr:nvSpPr>
          <xdr:spPr>
            <a:xfrm>
              <a:off x="22695588" y="1278391"/>
              <a:ext cx="4005419" cy="72797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xdr:colOff>
      <xdr:row>0</xdr:row>
      <xdr:rowOff>0</xdr:rowOff>
    </xdr:from>
    <xdr:to>
      <xdr:col>13</xdr:col>
      <xdr:colOff>518160</xdr:colOff>
      <xdr:row>7</xdr:row>
      <xdr:rowOff>0</xdr:rowOff>
    </xdr:to>
    <xdr:sp macro="" textlink="">
      <xdr:nvSpPr>
        <xdr:cNvPr id="2" name="TextBox 1">
          <a:extLst>
            <a:ext uri="{FF2B5EF4-FFF2-40B4-BE49-F238E27FC236}">
              <a16:creationId xmlns:a16="http://schemas.microsoft.com/office/drawing/2014/main" id="{9E6EF865-E5D6-C4FB-2C13-A71FBB289589}"/>
            </a:ext>
          </a:extLst>
        </xdr:cNvPr>
        <xdr:cNvSpPr txBox="1"/>
      </xdr:nvSpPr>
      <xdr:spPr>
        <a:xfrm>
          <a:off x="15240" y="0"/>
          <a:ext cx="9456420" cy="1280160"/>
        </a:xfrm>
        <a:prstGeom prst="rect">
          <a:avLst/>
        </a:prstGeom>
        <a:solidFill>
          <a:schemeClr val="accent3">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a:t>Question 10 : Case Scenario :- You are a data analyst working for a retail firm. You’ve received a sales dataset that includes customer transactions from various regions and product categories. Your job is to analyze this data, clean inconsistencies, extract insights, and build visual reports. </a:t>
          </a:r>
        </a:p>
        <a:p>
          <a:r>
            <a:rPr lang="en-IN"/>
            <a:t>Task : 1. Apply data validation in the Units Sold column to ensure only values between 1 and 20 are allowed. 2. Highlight rows where Profit &gt; ₹5000 3. Highlight any phone number that is not exactly 10 digits 4. Find the Revenue generated by each product and also label according to revenue generated as “High”, “Medium”, “Low”. 5. Find the profit percentage up to two decimal places. 6. Show Total Revenue and Total Profit by Region. 7. Show Average Units Sold per Product Category.</a:t>
          </a:r>
          <a:endParaRPr lang="en-IN"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45720</xdr:colOff>
      <xdr:row>5</xdr:row>
      <xdr:rowOff>53340</xdr:rowOff>
    </xdr:from>
    <xdr:to>
      <xdr:col>12</xdr:col>
      <xdr:colOff>350520</xdr:colOff>
      <xdr:row>20</xdr:row>
      <xdr:rowOff>53340</xdr:rowOff>
    </xdr:to>
    <xdr:graphicFrame macro="">
      <xdr:nvGraphicFramePr>
        <xdr:cNvPr id="2" name="Chart 1">
          <a:extLst>
            <a:ext uri="{FF2B5EF4-FFF2-40B4-BE49-F238E27FC236}">
              <a16:creationId xmlns:a16="http://schemas.microsoft.com/office/drawing/2014/main" id="{53F8D8D9-39E4-0982-44B3-5D4E22970C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388620</xdr:colOff>
      <xdr:row>5</xdr:row>
      <xdr:rowOff>45720</xdr:rowOff>
    </xdr:from>
    <xdr:to>
      <xdr:col>11</xdr:col>
      <xdr:colOff>83820</xdr:colOff>
      <xdr:row>20</xdr:row>
      <xdr:rowOff>45720</xdr:rowOff>
    </xdr:to>
    <xdr:graphicFrame macro="">
      <xdr:nvGraphicFramePr>
        <xdr:cNvPr id="2" name="Chart 1">
          <a:extLst>
            <a:ext uri="{FF2B5EF4-FFF2-40B4-BE49-F238E27FC236}">
              <a16:creationId xmlns:a16="http://schemas.microsoft.com/office/drawing/2014/main" id="{DE838437-C385-82DF-9297-9891DB4B80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30480</xdr:colOff>
      <xdr:row>5</xdr:row>
      <xdr:rowOff>45720</xdr:rowOff>
    </xdr:from>
    <xdr:to>
      <xdr:col>13</xdr:col>
      <xdr:colOff>335280</xdr:colOff>
      <xdr:row>20</xdr:row>
      <xdr:rowOff>45720</xdr:rowOff>
    </xdr:to>
    <xdr:graphicFrame macro="">
      <xdr:nvGraphicFramePr>
        <xdr:cNvPr id="2" name="Chart 1">
          <a:extLst>
            <a:ext uri="{FF2B5EF4-FFF2-40B4-BE49-F238E27FC236}">
              <a16:creationId xmlns:a16="http://schemas.microsoft.com/office/drawing/2014/main" id="{AB4F49F9-2C5D-68E2-FE9B-016880462C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533400</xdr:colOff>
      <xdr:row>5</xdr:row>
      <xdr:rowOff>45720</xdr:rowOff>
    </xdr:from>
    <xdr:to>
      <xdr:col>13</xdr:col>
      <xdr:colOff>228600</xdr:colOff>
      <xdr:row>20</xdr:row>
      <xdr:rowOff>45720</xdr:rowOff>
    </xdr:to>
    <xdr:graphicFrame macro="">
      <xdr:nvGraphicFramePr>
        <xdr:cNvPr id="2" name="Chart 1">
          <a:extLst>
            <a:ext uri="{FF2B5EF4-FFF2-40B4-BE49-F238E27FC236}">
              <a16:creationId xmlns:a16="http://schemas.microsoft.com/office/drawing/2014/main" id="{34101FB9-D3BA-7B7D-03BA-8AF7850CED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9</xdr:col>
      <xdr:colOff>289560</xdr:colOff>
      <xdr:row>90</xdr:row>
      <xdr:rowOff>167640</xdr:rowOff>
    </xdr:from>
    <xdr:to>
      <xdr:col>12</xdr:col>
      <xdr:colOff>289560</xdr:colOff>
      <xdr:row>104</xdr:row>
      <xdr:rowOff>74295</xdr:rowOff>
    </xdr:to>
    <mc:AlternateContent xmlns:mc="http://schemas.openxmlformats.org/markup-compatibility/2006" xmlns:a14="http://schemas.microsoft.com/office/drawing/2010/main">
      <mc:Choice Requires="a14">
        <xdr:graphicFrame macro="">
          <xdr:nvGraphicFramePr>
            <xdr:cNvPr id="2" name="Date">
              <a:extLst>
                <a:ext uri="{FF2B5EF4-FFF2-40B4-BE49-F238E27FC236}">
                  <a16:creationId xmlns:a16="http://schemas.microsoft.com/office/drawing/2014/main" id="{4FB51B3A-7D89-C5B0-F9EA-1153C93122DC}"/>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9319260" y="1662684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6029.016564583333" createdVersion="8" refreshedVersion="8" minRefreshableVersion="3" recordCount="100" xr:uid="{32B141DD-88A8-408E-BD2A-E947C5A13467}">
  <cacheSource type="worksheet">
    <worksheetSource ref="A1:J101" sheet="Sheet2"/>
  </cacheSource>
  <cacheFields count="12">
    <cacheField name="Accident ID" numFmtId="0">
      <sharedItems/>
    </cacheField>
    <cacheField name="Date" numFmtId="164">
      <sharedItems containsSemiMixedTypes="0" containsNonDate="0" containsDate="1" containsString="0" minDate="2024-01-01T00:00:00" maxDate="2024-06-27T00:00:00" count="81">
        <d v="2024-01-01T00:00:00"/>
        <d v="2024-03-29T00:00:00"/>
        <d v="2024-01-05T00:00:00"/>
        <d v="2024-06-02T00:00:00"/>
        <d v="2024-02-28T00:00:00"/>
        <d v="2024-04-17T00:00:00"/>
        <d v="2024-02-16T00:00:00"/>
        <d v="2024-03-18T00:00:00"/>
        <d v="2024-05-13T00:00:00"/>
        <d v="2024-01-16T00:00:00"/>
        <d v="2024-01-08T00:00:00"/>
        <d v="2024-06-25T00:00:00"/>
        <d v="2024-04-02T00:00:00"/>
        <d v="2024-03-27T00:00:00"/>
        <d v="2024-05-19T00:00:00"/>
        <d v="2024-03-03T00:00:00"/>
        <d v="2024-03-08T00:00:00"/>
        <d v="2024-06-26T00:00:00"/>
        <d v="2024-01-26T00:00:00"/>
        <d v="2024-02-05T00:00:00"/>
        <d v="2024-06-07T00:00:00"/>
        <d v="2024-02-24T00:00:00"/>
        <d v="2024-06-04T00:00:00"/>
        <d v="2024-05-30T00:00:00"/>
        <d v="2024-04-04T00:00:00"/>
        <d v="2024-05-10T00:00:00"/>
        <d v="2024-03-02T00:00:00"/>
        <d v="2024-04-16T00:00:00"/>
        <d v="2024-06-09T00:00:00"/>
        <d v="2024-02-25T00:00:00"/>
        <d v="2024-06-24T00:00:00"/>
        <d v="2024-04-21T00:00:00"/>
        <d v="2024-01-02T00:00:00"/>
        <d v="2024-05-24T00:00:00"/>
        <d v="2024-01-23T00:00:00"/>
        <d v="2024-04-26T00:00:00"/>
        <d v="2024-03-14T00:00:00"/>
        <d v="2024-01-10T00:00:00"/>
        <d v="2024-04-28T00:00:00"/>
        <d v="2024-03-19T00:00:00"/>
        <d v="2024-03-20T00:00:00"/>
        <d v="2024-05-05T00:00:00"/>
        <d v="2024-04-20T00:00:00"/>
        <d v="2024-06-23T00:00:00"/>
        <d v="2024-04-01T00:00:00"/>
        <d v="2024-01-20T00:00:00"/>
        <d v="2024-02-23T00:00:00"/>
        <d v="2024-05-21T00:00:00"/>
        <d v="2024-03-23T00:00:00"/>
        <d v="2024-03-16T00:00:00"/>
        <d v="2024-05-14T00:00:00"/>
        <d v="2024-05-11T00:00:00"/>
        <d v="2024-03-04T00:00:00"/>
        <d v="2024-06-10T00:00:00"/>
        <d v="2024-03-09T00:00:00"/>
        <d v="2024-02-15T00:00:00"/>
        <d v="2024-01-11T00:00:00"/>
        <d v="2024-05-18T00:00:00"/>
        <d v="2024-06-05T00:00:00"/>
        <d v="2024-03-01T00:00:00"/>
        <d v="2024-06-17T00:00:00"/>
        <d v="2024-05-25T00:00:00"/>
        <d v="2024-02-08T00:00:00"/>
        <d v="2024-03-31T00:00:00"/>
        <d v="2024-02-07T00:00:00"/>
        <d v="2024-03-24T00:00:00"/>
        <d v="2024-01-29T00:00:00"/>
        <d v="2024-04-22T00:00:00"/>
        <d v="2024-05-12T00:00:00"/>
        <d v="2024-01-28T00:00:00"/>
        <d v="2024-01-17T00:00:00"/>
        <d v="2024-06-14T00:00:00"/>
        <d v="2024-03-22T00:00:00"/>
        <d v="2024-01-03T00:00:00"/>
        <d v="2024-06-15T00:00:00"/>
        <d v="2024-04-07T00:00:00"/>
        <d v="2024-06-13T00:00:00"/>
        <d v="2024-02-20T00:00:00"/>
        <d v="2024-01-22T00:00:00"/>
        <d v="2024-04-08T00:00:00"/>
        <d v="2024-06-21T00:00:00"/>
      </sharedItems>
      <fieldGroup par="11"/>
    </cacheField>
    <cacheField name="Location" numFmtId="0">
      <sharedItems count="8">
        <s v="Hyderabad"/>
        <s v="Mumbai"/>
        <s v="Pune"/>
        <s v="Bangalore"/>
        <s v="Delhi"/>
        <s v="Ahmedabad"/>
        <s v="Chennai"/>
        <s v="Kolkata"/>
      </sharedItems>
    </cacheField>
    <cacheField name="Accident Type" numFmtId="0">
      <sharedItems count="5">
        <s v="Overturn"/>
        <s v="Collision"/>
        <s v="Animal Hit"/>
        <s v="Object Hit"/>
        <s v="Pedestrian Hit"/>
      </sharedItems>
    </cacheField>
    <cacheField name="Vehicle Type" numFmtId="0">
      <sharedItems/>
    </cacheField>
    <cacheField name="Weather Condition" numFmtId="0">
      <sharedItems/>
    </cacheField>
    <cacheField name="Road Condition" numFmtId="0">
      <sharedItems count="4">
        <s v="Dry"/>
        <s v="Damaged"/>
        <s v="Under Construction"/>
        <s v="Wet"/>
      </sharedItems>
    </cacheField>
    <cacheField name="Severity" numFmtId="0">
      <sharedItems count="4">
        <s v="Moderate"/>
        <s v="Fatal"/>
        <s v="Minor"/>
        <s v="Severe"/>
      </sharedItems>
    </cacheField>
    <cacheField name="Cause" numFmtId="0">
      <sharedItems/>
    </cacheField>
    <cacheField name="Casualties" numFmtId="0">
      <sharedItems containsSemiMixedTypes="0" containsString="0" containsNumber="1" containsInteger="1" minValue="0" maxValue="5"/>
    </cacheField>
    <cacheField name="Days (Date)" numFmtId="0" databaseField="0">
      <fieldGroup base="1">
        <rangePr groupBy="days" startDate="2024-01-01T00:00:00" endDate="2024-06-27T00:00:00"/>
        <groupItems count="368">
          <s v="&lt;01-01-2024"/>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7-06-2024"/>
        </groupItems>
      </fieldGroup>
    </cacheField>
    <cacheField name="Months (Date)" numFmtId="0" databaseField="0">
      <fieldGroup base="1">
        <rangePr groupBy="months" startDate="2024-01-01T00:00:00" endDate="2024-06-27T00:00:00"/>
        <groupItems count="14">
          <s v="&lt;01-01-2024"/>
          <s v="Jan"/>
          <s v="Feb"/>
          <s v="Mar"/>
          <s v="Apr"/>
          <s v="May"/>
          <s v="Jun"/>
          <s v="Jul"/>
          <s v="Aug"/>
          <s v="Sep"/>
          <s v="Oct"/>
          <s v="Nov"/>
          <s v="Dec"/>
          <s v="&gt;27-06-2024"/>
        </groupItems>
      </fieldGroup>
    </cacheField>
  </cacheFields>
  <extLst>
    <ext xmlns:x14="http://schemas.microsoft.com/office/spreadsheetml/2009/9/main" uri="{725AE2AE-9491-48be-B2B4-4EB974FC3084}">
      <x14:pivotCacheDefinition pivotCacheId="38796083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6029.679681828704" createdVersion="8" refreshedVersion="8" minRefreshableVersion="3" recordCount="100" xr:uid="{E3D4F79B-A8C8-4F1E-9356-7C15340403EB}">
  <cacheSource type="worksheet">
    <worksheetSource name="Table1"/>
  </cacheSource>
  <cacheFields count="10">
    <cacheField name="Accident ID" numFmtId="0">
      <sharedItems count="100">
        <s v="AID0001"/>
        <s v="AID0002"/>
        <s v="AID0003"/>
        <s v="AID0004"/>
        <s v="AID0005"/>
        <s v="AID0006"/>
        <s v="AID0007"/>
        <s v="AID0008"/>
        <s v="AID0009"/>
        <s v="AID0010"/>
        <s v="AID0011"/>
        <s v="AID0012"/>
        <s v="AID0013"/>
        <s v="AID0014"/>
        <s v="AID0015"/>
        <s v="AID0016"/>
        <s v="AID0017"/>
        <s v="AID0018"/>
        <s v="AID0019"/>
        <s v="AID0020"/>
        <s v="AID0021"/>
        <s v="AID0022"/>
        <s v="AID0023"/>
        <s v="AID0024"/>
        <s v="AID0025"/>
        <s v="AID0026"/>
        <s v="AID0027"/>
        <s v="AID0028"/>
        <s v="AID0029"/>
        <s v="AID0030"/>
        <s v="AID0031"/>
        <s v="AID0032"/>
        <s v="AID0033"/>
        <s v="AID0034"/>
        <s v="AID0035"/>
        <s v="AID0036"/>
        <s v="AID0037"/>
        <s v="AID0038"/>
        <s v="AID0039"/>
        <s v="AID0040"/>
        <s v="AID0041"/>
        <s v="AID0042"/>
        <s v="AID0043"/>
        <s v="AID0044"/>
        <s v="AID0045"/>
        <s v="AID0046"/>
        <s v="AID0047"/>
        <s v="AID0048"/>
        <s v="AID0049"/>
        <s v="AID0050"/>
        <s v="AID0051"/>
        <s v="AID0052"/>
        <s v="AID0053"/>
        <s v="AID0054"/>
        <s v="AID0055"/>
        <s v="AID0056"/>
        <s v="AID0057"/>
        <s v="AID0058"/>
        <s v="AID0059"/>
        <s v="AID0060"/>
        <s v="AID0061"/>
        <s v="AID0062"/>
        <s v="AID0063"/>
        <s v="AID0064"/>
        <s v="AID0065"/>
        <s v="AID0066"/>
        <s v="AID0067"/>
        <s v="AID0068"/>
        <s v="AID0069"/>
        <s v="AID0070"/>
        <s v="AID0071"/>
        <s v="AID0072"/>
        <s v="AID0073"/>
        <s v="AID0074"/>
        <s v="AID0075"/>
        <s v="AID0076"/>
        <s v="AID0077"/>
        <s v="AID0078"/>
        <s v="AID0079"/>
        <s v="AID0080"/>
        <s v="AID0081"/>
        <s v="AID0082"/>
        <s v="AID0083"/>
        <s v="AID0084"/>
        <s v="AID0085"/>
        <s v="AID0086"/>
        <s v="AID0087"/>
        <s v="AID0088"/>
        <s v="AID0089"/>
        <s v="AID0090"/>
        <s v="AID0091"/>
        <s v="AID0092"/>
        <s v="AID0093"/>
        <s v="AID0094"/>
        <s v="AID0095"/>
        <s v="AID0096"/>
        <s v="AID0097"/>
        <s v="AID0098"/>
        <s v="AID0099"/>
        <s v="AID0100"/>
      </sharedItems>
    </cacheField>
    <cacheField name="Date" numFmtId="164">
      <sharedItems containsSemiMixedTypes="0" containsNonDate="0" containsDate="1" containsString="0" minDate="2024-01-01T00:00:00" maxDate="2024-06-27T00:00:00" count="81">
        <d v="2024-01-01T00:00:00"/>
        <d v="2024-03-29T00:00:00"/>
        <d v="2024-01-05T00:00:00"/>
        <d v="2024-06-02T00:00:00"/>
        <d v="2024-02-28T00:00:00"/>
        <d v="2024-04-17T00:00:00"/>
        <d v="2024-02-16T00:00:00"/>
        <d v="2024-03-18T00:00:00"/>
        <d v="2024-05-13T00:00:00"/>
        <d v="2024-01-16T00:00:00"/>
        <d v="2024-01-08T00:00:00"/>
        <d v="2024-06-25T00:00:00"/>
        <d v="2024-04-02T00:00:00"/>
        <d v="2024-03-27T00:00:00"/>
        <d v="2024-05-19T00:00:00"/>
        <d v="2024-03-03T00:00:00"/>
        <d v="2024-03-08T00:00:00"/>
        <d v="2024-06-26T00:00:00"/>
        <d v="2024-01-26T00:00:00"/>
        <d v="2024-02-05T00:00:00"/>
        <d v="2024-06-07T00:00:00"/>
        <d v="2024-02-24T00:00:00"/>
        <d v="2024-06-04T00:00:00"/>
        <d v="2024-05-30T00:00:00"/>
        <d v="2024-04-04T00:00:00"/>
        <d v="2024-05-10T00:00:00"/>
        <d v="2024-03-02T00:00:00"/>
        <d v="2024-04-16T00:00:00"/>
        <d v="2024-06-09T00:00:00"/>
        <d v="2024-02-25T00:00:00"/>
        <d v="2024-06-24T00:00:00"/>
        <d v="2024-04-21T00:00:00"/>
        <d v="2024-01-02T00:00:00"/>
        <d v="2024-05-24T00:00:00"/>
        <d v="2024-01-23T00:00:00"/>
        <d v="2024-04-26T00:00:00"/>
        <d v="2024-03-14T00:00:00"/>
        <d v="2024-01-10T00:00:00"/>
        <d v="2024-04-28T00:00:00"/>
        <d v="2024-03-19T00:00:00"/>
        <d v="2024-03-20T00:00:00"/>
        <d v="2024-05-05T00:00:00"/>
        <d v="2024-04-20T00:00:00"/>
        <d v="2024-06-23T00:00:00"/>
        <d v="2024-04-01T00:00:00"/>
        <d v="2024-01-20T00:00:00"/>
        <d v="2024-02-23T00:00:00"/>
        <d v="2024-05-21T00:00:00"/>
        <d v="2024-03-23T00:00:00"/>
        <d v="2024-03-16T00:00:00"/>
        <d v="2024-05-14T00:00:00"/>
        <d v="2024-05-11T00:00:00"/>
        <d v="2024-03-04T00:00:00"/>
        <d v="2024-06-10T00:00:00"/>
        <d v="2024-03-09T00:00:00"/>
        <d v="2024-02-15T00:00:00"/>
        <d v="2024-01-11T00:00:00"/>
        <d v="2024-05-18T00:00:00"/>
        <d v="2024-06-05T00:00:00"/>
        <d v="2024-03-01T00:00:00"/>
        <d v="2024-06-17T00:00:00"/>
        <d v="2024-05-25T00:00:00"/>
        <d v="2024-02-08T00:00:00"/>
        <d v="2024-03-31T00:00:00"/>
        <d v="2024-02-07T00:00:00"/>
        <d v="2024-03-24T00:00:00"/>
        <d v="2024-01-29T00:00:00"/>
        <d v="2024-04-22T00:00:00"/>
        <d v="2024-05-12T00:00:00"/>
        <d v="2024-01-28T00:00:00"/>
        <d v="2024-01-17T00:00:00"/>
        <d v="2024-06-14T00:00:00"/>
        <d v="2024-03-22T00:00:00"/>
        <d v="2024-01-03T00:00:00"/>
        <d v="2024-06-15T00:00:00"/>
        <d v="2024-04-07T00:00:00"/>
        <d v="2024-06-13T00:00:00"/>
        <d v="2024-02-20T00:00:00"/>
        <d v="2024-01-22T00:00:00"/>
        <d v="2024-04-08T00:00:00"/>
        <d v="2024-06-21T00:00:00"/>
      </sharedItems>
    </cacheField>
    <cacheField name="Location" numFmtId="0">
      <sharedItems count="8">
        <s v="Hyderabad"/>
        <s v="Mumbai"/>
        <s v="Pune"/>
        <s v="Bangalore"/>
        <s v="Delhi"/>
        <s v="Ahmedabad"/>
        <s v="Chennai"/>
        <s v="Kolkata"/>
      </sharedItems>
    </cacheField>
    <cacheField name="Accident Type" numFmtId="0">
      <sharedItems count="5">
        <s v="Overturn"/>
        <s v="Collision"/>
        <s v="Animal Hit"/>
        <s v="Object Hit"/>
        <s v="Pedestrian Hit"/>
      </sharedItems>
    </cacheField>
    <cacheField name="Vehicle Type" numFmtId="0">
      <sharedItems count="6">
        <s v="Auto-Rickshaw"/>
        <s v="Bicycle"/>
        <s v="Truck"/>
        <s v="Car"/>
        <s v="Motorcycle"/>
        <s v="Bus"/>
      </sharedItems>
    </cacheField>
    <cacheField name="Weather Condition" numFmtId="0">
      <sharedItems/>
    </cacheField>
    <cacheField name="Road Condition" numFmtId="0">
      <sharedItems count="4">
        <s v="Dry"/>
        <s v="Damaged"/>
        <s v="Under Construction"/>
        <s v="Wet"/>
      </sharedItems>
    </cacheField>
    <cacheField name="Severity" numFmtId="0">
      <sharedItems count="4">
        <s v="Moderate"/>
        <s v="Fatal"/>
        <s v="Minor"/>
        <s v="Severe"/>
      </sharedItems>
    </cacheField>
    <cacheField name="Cause" numFmtId="0">
      <sharedItems count="6">
        <s v="Overtaking"/>
        <s v="Distracted Driving"/>
        <s v="Brake Failure"/>
        <s v="Weather"/>
        <s v="Drunk Driving"/>
        <s v="Speeding"/>
      </sharedItems>
    </cacheField>
    <cacheField name="Casualties" numFmtId="0">
      <sharedItems containsSemiMixedTypes="0" containsString="0" containsNumber="1" containsInteger="1" minValue="0" maxValue="5"/>
    </cacheField>
  </cacheFields>
  <extLst>
    <ext xmlns:x14="http://schemas.microsoft.com/office/spreadsheetml/2009/9/main" uri="{725AE2AE-9491-48be-B2B4-4EB974FC3084}">
      <x14:pivotCacheDefinition pivotCacheId="1573653576"/>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6030.670629629632" createdVersion="8" refreshedVersion="8" minRefreshableVersion="3" recordCount="100" xr:uid="{990E52F5-B8EE-4F59-A4EC-B6F50641EA20}">
  <cacheSource type="worksheet">
    <worksheetSource ref="O8:AB108" sheet="ANS 10"/>
  </cacheSource>
  <cacheFields count="14">
    <cacheField name="Customer ID" numFmtId="0">
      <sharedItems/>
    </cacheField>
    <cacheField name="Region" numFmtId="0">
      <sharedItems count="4">
        <s v="West"/>
        <s v="South"/>
        <s v="East"/>
        <s v="North"/>
      </sharedItems>
    </cacheField>
    <cacheField name="Country" numFmtId="0">
      <sharedItems/>
    </cacheField>
    <cacheField name="State" numFmtId="0">
      <sharedItems/>
    </cacheField>
    <cacheField name="Phone Number" numFmtId="0">
      <sharedItems containsSemiMixedTypes="0" containsString="0" containsNumber="1" containsInteger="1" minValue="85" maxValue="99831923457"/>
    </cacheField>
    <cacheField name="Category" numFmtId="0">
      <sharedItems count="3">
        <s v="Clothing"/>
        <s v="Furniture"/>
        <s v="Electronics"/>
      </sharedItems>
    </cacheField>
    <cacheField name="Product" numFmtId="0">
      <sharedItems/>
    </cacheField>
    <cacheField name="Price" numFmtId="0">
      <sharedItems containsSemiMixedTypes="0" containsString="0" containsNumber="1" minValue="238.37" maxValue="2896.96"/>
    </cacheField>
    <cacheField name="Units Sold" numFmtId="0">
      <sharedItems containsSemiMixedTypes="0" containsString="0" containsNumber="1" containsInteger="1" minValue="1" maxValue="15"/>
    </cacheField>
    <cacheField name="Profit" numFmtId="0">
      <sharedItems containsSemiMixedTypes="0" containsString="0" containsNumber="1" minValue="163.57" maxValue="11123.31"/>
    </cacheField>
    <cacheField name="Mode of Payment" numFmtId="0">
      <sharedItems/>
    </cacheField>
    <cacheField name="Revenue" numFmtId="0">
      <sharedItems containsSemiMixedTypes="0" containsString="0" containsNumber="1" minValue="1248.54" maxValue="42729.15"/>
    </cacheField>
    <cacheField name="Revenue Label" numFmtId="0">
      <sharedItems/>
    </cacheField>
    <cacheField name="Profit %" numFmtId="0">
      <sharedItems containsSemiMixedTypes="0" containsString="0" containsNumber="1" minValue="10.26" maxValue="29.9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AID0001"/>
    <x v="0"/>
    <x v="0"/>
    <x v="0"/>
    <s v="Auto-Rickshaw"/>
    <s v="Clear"/>
    <x v="0"/>
    <x v="0"/>
    <s v="Overtaking"/>
    <n v="0"/>
  </r>
  <r>
    <s v="AID0002"/>
    <x v="1"/>
    <x v="1"/>
    <x v="0"/>
    <s v="Auto-Rickshaw"/>
    <s v="Foggy"/>
    <x v="1"/>
    <x v="0"/>
    <s v="Distracted Driving"/>
    <n v="0"/>
  </r>
  <r>
    <s v="AID0003"/>
    <x v="2"/>
    <x v="1"/>
    <x v="0"/>
    <s v="Bicycle"/>
    <s v="Windy"/>
    <x v="2"/>
    <x v="1"/>
    <s v="Overtaking"/>
    <n v="3"/>
  </r>
  <r>
    <s v="AID0004"/>
    <x v="3"/>
    <x v="2"/>
    <x v="1"/>
    <s v="Truck"/>
    <s v="Clear"/>
    <x v="0"/>
    <x v="1"/>
    <s v="Brake Failure"/>
    <n v="4"/>
  </r>
  <r>
    <s v="AID0005"/>
    <x v="4"/>
    <x v="3"/>
    <x v="2"/>
    <s v="Auto-Rickshaw"/>
    <s v="Clear"/>
    <x v="1"/>
    <x v="0"/>
    <s v="Weather"/>
    <n v="0"/>
  </r>
  <r>
    <s v="AID0006"/>
    <x v="5"/>
    <x v="3"/>
    <x v="2"/>
    <s v="Car"/>
    <s v="Rainy"/>
    <x v="1"/>
    <x v="2"/>
    <s v="Drunk Driving"/>
    <n v="4"/>
  </r>
  <r>
    <s v="AID0007"/>
    <x v="6"/>
    <x v="4"/>
    <x v="2"/>
    <s v="Car"/>
    <s v="Rainy"/>
    <x v="0"/>
    <x v="2"/>
    <s v="Speeding"/>
    <n v="2"/>
  </r>
  <r>
    <s v="AID0008"/>
    <x v="7"/>
    <x v="0"/>
    <x v="0"/>
    <s v="Car"/>
    <s v="Foggy"/>
    <x v="3"/>
    <x v="0"/>
    <s v="Speeding"/>
    <n v="5"/>
  </r>
  <r>
    <s v="AID0009"/>
    <x v="8"/>
    <x v="1"/>
    <x v="1"/>
    <s v="Car"/>
    <s v="Windy"/>
    <x v="2"/>
    <x v="2"/>
    <s v="Weather"/>
    <n v="2"/>
  </r>
  <r>
    <s v="AID0010"/>
    <x v="9"/>
    <x v="5"/>
    <x v="1"/>
    <s v="Motorcycle"/>
    <s v="Clear"/>
    <x v="2"/>
    <x v="3"/>
    <s v="Speeding"/>
    <n v="5"/>
  </r>
  <r>
    <s v="AID0011"/>
    <x v="10"/>
    <x v="2"/>
    <x v="3"/>
    <s v="Auto-Rickshaw"/>
    <s v="Clear"/>
    <x v="1"/>
    <x v="1"/>
    <s v="Overtaking"/>
    <n v="0"/>
  </r>
  <r>
    <s v="AID0012"/>
    <x v="11"/>
    <x v="5"/>
    <x v="4"/>
    <s v="Car"/>
    <s v="Clear"/>
    <x v="2"/>
    <x v="3"/>
    <s v="Overtaking"/>
    <n v="3"/>
  </r>
  <r>
    <s v="AID0013"/>
    <x v="1"/>
    <x v="3"/>
    <x v="4"/>
    <s v="Bicycle"/>
    <s v="Rainy"/>
    <x v="3"/>
    <x v="3"/>
    <s v="Speeding"/>
    <n v="1"/>
  </r>
  <r>
    <s v="AID0014"/>
    <x v="12"/>
    <x v="6"/>
    <x v="0"/>
    <s v="Bus"/>
    <s v="Foggy"/>
    <x v="0"/>
    <x v="3"/>
    <s v="Drunk Driving"/>
    <n v="2"/>
  </r>
  <r>
    <s v="AID0015"/>
    <x v="13"/>
    <x v="6"/>
    <x v="4"/>
    <s v="Motorcycle"/>
    <s v="Foggy"/>
    <x v="2"/>
    <x v="0"/>
    <s v="Brake Failure"/>
    <n v="1"/>
  </r>
  <r>
    <s v="AID0016"/>
    <x v="14"/>
    <x v="6"/>
    <x v="0"/>
    <s v="Truck"/>
    <s v="Foggy"/>
    <x v="1"/>
    <x v="3"/>
    <s v="Distracted Driving"/>
    <n v="5"/>
  </r>
  <r>
    <s v="AID0017"/>
    <x v="15"/>
    <x v="0"/>
    <x v="1"/>
    <s v="Motorcycle"/>
    <s v="Windy"/>
    <x v="2"/>
    <x v="0"/>
    <s v="Distracted Driving"/>
    <n v="4"/>
  </r>
  <r>
    <s v="AID0018"/>
    <x v="16"/>
    <x v="7"/>
    <x v="0"/>
    <s v="Car"/>
    <s v="Windy"/>
    <x v="2"/>
    <x v="0"/>
    <s v="Brake Failure"/>
    <n v="3"/>
  </r>
  <r>
    <s v="AID0019"/>
    <x v="17"/>
    <x v="4"/>
    <x v="0"/>
    <s v="Motorcycle"/>
    <s v="Rainy"/>
    <x v="3"/>
    <x v="3"/>
    <s v="Drunk Driving"/>
    <n v="4"/>
  </r>
  <r>
    <s v="AID0020"/>
    <x v="18"/>
    <x v="4"/>
    <x v="1"/>
    <s v="Bicycle"/>
    <s v="Rainy"/>
    <x v="1"/>
    <x v="0"/>
    <s v="Brake Failure"/>
    <n v="5"/>
  </r>
  <r>
    <s v="AID0021"/>
    <x v="19"/>
    <x v="2"/>
    <x v="2"/>
    <s v="Motorcycle"/>
    <s v="Windy"/>
    <x v="1"/>
    <x v="2"/>
    <s v="Distracted Driving"/>
    <n v="5"/>
  </r>
  <r>
    <s v="AID0022"/>
    <x v="20"/>
    <x v="0"/>
    <x v="3"/>
    <s v="Truck"/>
    <s v="Foggy"/>
    <x v="2"/>
    <x v="1"/>
    <s v="Weather"/>
    <n v="4"/>
  </r>
  <r>
    <s v="AID0023"/>
    <x v="13"/>
    <x v="6"/>
    <x v="1"/>
    <s v="Bicycle"/>
    <s v="Rainy"/>
    <x v="2"/>
    <x v="3"/>
    <s v="Weather"/>
    <n v="4"/>
  </r>
  <r>
    <s v="AID0024"/>
    <x v="21"/>
    <x v="1"/>
    <x v="3"/>
    <s v="Truck"/>
    <s v="Rainy"/>
    <x v="0"/>
    <x v="0"/>
    <s v="Overtaking"/>
    <n v="0"/>
  </r>
  <r>
    <s v="AID0025"/>
    <x v="22"/>
    <x v="4"/>
    <x v="2"/>
    <s v="Motorcycle"/>
    <s v="Rainy"/>
    <x v="1"/>
    <x v="1"/>
    <s v="Drunk Driving"/>
    <n v="1"/>
  </r>
  <r>
    <s v="AID0026"/>
    <x v="23"/>
    <x v="2"/>
    <x v="1"/>
    <s v="Bus"/>
    <s v="Clear"/>
    <x v="1"/>
    <x v="0"/>
    <s v="Weather"/>
    <n v="0"/>
  </r>
  <r>
    <s v="AID0027"/>
    <x v="24"/>
    <x v="0"/>
    <x v="4"/>
    <s v="Car"/>
    <s v="Windy"/>
    <x v="3"/>
    <x v="1"/>
    <s v="Overtaking"/>
    <n v="0"/>
  </r>
  <r>
    <s v="AID0028"/>
    <x v="25"/>
    <x v="0"/>
    <x v="0"/>
    <s v="Bicycle"/>
    <s v="Foggy"/>
    <x v="0"/>
    <x v="3"/>
    <s v="Brake Failure"/>
    <n v="4"/>
  </r>
  <r>
    <s v="AID0029"/>
    <x v="26"/>
    <x v="6"/>
    <x v="2"/>
    <s v="Auto-Rickshaw"/>
    <s v="Rainy"/>
    <x v="1"/>
    <x v="3"/>
    <s v="Weather"/>
    <n v="4"/>
  </r>
  <r>
    <s v="AID0030"/>
    <x v="27"/>
    <x v="2"/>
    <x v="4"/>
    <s v="Car"/>
    <s v="Foggy"/>
    <x v="2"/>
    <x v="3"/>
    <s v="Distracted Driving"/>
    <n v="0"/>
  </r>
  <r>
    <s v="AID0031"/>
    <x v="28"/>
    <x v="7"/>
    <x v="3"/>
    <s v="Motorcycle"/>
    <s v="Rainy"/>
    <x v="3"/>
    <x v="3"/>
    <s v="Overtaking"/>
    <n v="5"/>
  </r>
  <r>
    <s v="AID0032"/>
    <x v="29"/>
    <x v="6"/>
    <x v="4"/>
    <s v="Auto-Rickshaw"/>
    <s v="Rainy"/>
    <x v="1"/>
    <x v="1"/>
    <s v="Drunk Driving"/>
    <n v="2"/>
  </r>
  <r>
    <s v="AID0033"/>
    <x v="30"/>
    <x v="2"/>
    <x v="3"/>
    <s v="Auto-Rickshaw"/>
    <s v="Windy"/>
    <x v="1"/>
    <x v="1"/>
    <s v="Distracted Driving"/>
    <n v="1"/>
  </r>
  <r>
    <s v="AID0034"/>
    <x v="31"/>
    <x v="7"/>
    <x v="2"/>
    <s v="Bicycle"/>
    <s v="Clear"/>
    <x v="2"/>
    <x v="2"/>
    <s v="Drunk Driving"/>
    <n v="1"/>
  </r>
  <r>
    <s v="AID0035"/>
    <x v="32"/>
    <x v="1"/>
    <x v="0"/>
    <s v="Truck"/>
    <s v="Clear"/>
    <x v="3"/>
    <x v="3"/>
    <s v="Speeding"/>
    <n v="3"/>
  </r>
  <r>
    <s v="AID0036"/>
    <x v="33"/>
    <x v="7"/>
    <x v="2"/>
    <s v="Auto-Rickshaw"/>
    <s v="Clear"/>
    <x v="3"/>
    <x v="0"/>
    <s v="Distracted Driving"/>
    <n v="4"/>
  </r>
  <r>
    <s v="AID0037"/>
    <x v="18"/>
    <x v="5"/>
    <x v="3"/>
    <s v="Motorcycle"/>
    <s v="Clear"/>
    <x v="2"/>
    <x v="2"/>
    <s v="Overtaking"/>
    <n v="5"/>
  </r>
  <r>
    <s v="AID0038"/>
    <x v="34"/>
    <x v="3"/>
    <x v="0"/>
    <s v="Auto-Rickshaw"/>
    <s v="Windy"/>
    <x v="2"/>
    <x v="3"/>
    <s v="Speeding"/>
    <n v="0"/>
  </r>
  <r>
    <s v="AID0039"/>
    <x v="35"/>
    <x v="2"/>
    <x v="2"/>
    <s v="Car"/>
    <s v="Foggy"/>
    <x v="2"/>
    <x v="1"/>
    <s v="Speeding"/>
    <n v="2"/>
  </r>
  <r>
    <s v="AID0040"/>
    <x v="36"/>
    <x v="0"/>
    <x v="0"/>
    <s v="Auto-Rickshaw"/>
    <s v="Rainy"/>
    <x v="1"/>
    <x v="1"/>
    <s v="Weather"/>
    <n v="1"/>
  </r>
  <r>
    <s v="AID0041"/>
    <x v="37"/>
    <x v="0"/>
    <x v="2"/>
    <s v="Auto-Rickshaw"/>
    <s v="Clear"/>
    <x v="3"/>
    <x v="2"/>
    <s v="Brake Failure"/>
    <n v="4"/>
  </r>
  <r>
    <s v="AID0042"/>
    <x v="38"/>
    <x v="1"/>
    <x v="1"/>
    <s v="Car"/>
    <s v="Foggy"/>
    <x v="2"/>
    <x v="2"/>
    <s v="Speeding"/>
    <n v="2"/>
  </r>
  <r>
    <s v="AID0043"/>
    <x v="34"/>
    <x v="3"/>
    <x v="0"/>
    <s v="Bicycle"/>
    <s v="Windy"/>
    <x v="2"/>
    <x v="2"/>
    <s v="Brake Failure"/>
    <n v="2"/>
  </r>
  <r>
    <s v="AID0044"/>
    <x v="39"/>
    <x v="0"/>
    <x v="2"/>
    <s v="Car"/>
    <s v="Windy"/>
    <x v="3"/>
    <x v="1"/>
    <s v="Weather"/>
    <n v="4"/>
  </r>
  <r>
    <s v="AID0045"/>
    <x v="40"/>
    <x v="0"/>
    <x v="0"/>
    <s v="Bus"/>
    <s v="Clear"/>
    <x v="3"/>
    <x v="3"/>
    <s v="Brake Failure"/>
    <n v="3"/>
  </r>
  <r>
    <s v="AID0046"/>
    <x v="41"/>
    <x v="1"/>
    <x v="2"/>
    <s v="Motorcycle"/>
    <s v="Rainy"/>
    <x v="0"/>
    <x v="2"/>
    <s v="Speeding"/>
    <n v="0"/>
  </r>
  <r>
    <s v="AID0047"/>
    <x v="42"/>
    <x v="0"/>
    <x v="0"/>
    <s v="Car"/>
    <s v="Foggy"/>
    <x v="0"/>
    <x v="3"/>
    <s v="Overtaking"/>
    <n v="1"/>
  </r>
  <r>
    <s v="AID0048"/>
    <x v="43"/>
    <x v="6"/>
    <x v="2"/>
    <s v="Motorcycle"/>
    <s v="Rainy"/>
    <x v="3"/>
    <x v="1"/>
    <s v="Drunk Driving"/>
    <n v="0"/>
  </r>
  <r>
    <s v="AID0049"/>
    <x v="7"/>
    <x v="7"/>
    <x v="1"/>
    <s v="Motorcycle"/>
    <s v="Clear"/>
    <x v="0"/>
    <x v="0"/>
    <s v="Weather"/>
    <n v="5"/>
  </r>
  <r>
    <s v="AID0050"/>
    <x v="33"/>
    <x v="3"/>
    <x v="4"/>
    <s v="Truck"/>
    <s v="Foggy"/>
    <x v="1"/>
    <x v="2"/>
    <s v="Speeding"/>
    <n v="2"/>
  </r>
  <r>
    <s v="AID0051"/>
    <x v="44"/>
    <x v="5"/>
    <x v="1"/>
    <s v="Bicycle"/>
    <s v="Windy"/>
    <x v="0"/>
    <x v="0"/>
    <s v="Drunk Driving"/>
    <n v="0"/>
  </r>
  <r>
    <s v="AID0052"/>
    <x v="29"/>
    <x v="4"/>
    <x v="2"/>
    <s v="Truck"/>
    <s v="Foggy"/>
    <x v="1"/>
    <x v="3"/>
    <s v="Weather"/>
    <n v="2"/>
  </r>
  <r>
    <s v="AID0053"/>
    <x v="45"/>
    <x v="7"/>
    <x v="4"/>
    <s v="Car"/>
    <s v="Windy"/>
    <x v="2"/>
    <x v="0"/>
    <s v="Drunk Driving"/>
    <n v="3"/>
  </r>
  <r>
    <s v="AID0054"/>
    <x v="46"/>
    <x v="0"/>
    <x v="2"/>
    <s v="Truck"/>
    <s v="Windy"/>
    <x v="0"/>
    <x v="3"/>
    <s v="Drunk Driving"/>
    <n v="5"/>
  </r>
  <r>
    <s v="AID0055"/>
    <x v="47"/>
    <x v="0"/>
    <x v="0"/>
    <s v="Auto-Rickshaw"/>
    <s v="Clear"/>
    <x v="1"/>
    <x v="0"/>
    <s v="Brake Failure"/>
    <n v="4"/>
  </r>
  <r>
    <s v="AID0056"/>
    <x v="48"/>
    <x v="3"/>
    <x v="0"/>
    <s v="Bus"/>
    <s v="Foggy"/>
    <x v="2"/>
    <x v="0"/>
    <s v="Drunk Driving"/>
    <n v="3"/>
  </r>
  <r>
    <s v="AID0057"/>
    <x v="47"/>
    <x v="3"/>
    <x v="0"/>
    <s v="Bus"/>
    <s v="Windy"/>
    <x v="2"/>
    <x v="2"/>
    <s v="Speeding"/>
    <n v="5"/>
  </r>
  <r>
    <s v="AID0058"/>
    <x v="49"/>
    <x v="0"/>
    <x v="1"/>
    <s v="Auto-Rickshaw"/>
    <s v="Foggy"/>
    <x v="3"/>
    <x v="2"/>
    <s v="Brake Failure"/>
    <n v="2"/>
  </r>
  <r>
    <s v="AID0059"/>
    <x v="18"/>
    <x v="1"/>
    <x v="1"/>
    <s v="Car"/>
    <s v="Foggy"/>
    <x v="2"/>
    <x v="1"/>
    <s v="Speeding"/>
    <n v="4"/>
  </r>
  <r>
    <s v="AID0060"/>
    <x v="50"/>
    <x v="2"/>
    <x v="0"/>
    <s v="Car"/>
    <s v="Rainy"/>
    <x v="0"/>
    <x v="1"/>
    <s v="Drunk Driving"/>
    <n v="2"/>
  </r>
  <r>
    <s v="AID0061"/>
    <x v="51"/>
    <x v="0"/>
    <x v="2"/>
    <s v="Bicycle"/>
    <s v="Foggy"/>
    <x v="2"/>
    <x v="1"/>
    <s v="Brake Failure"/>
    <n v="5"/>
  </r>
  <r>
    <s v="AID0062"/>
    <x v="52"/>
    <x v="1"/>
    <x v="1"/>
    <s v="Motorcycle"/>
    <s v="Foggy"/>
    <x v="1"/>
    <x v="2"/>
    <s v="Speeding"/>
    <n v="5"/>
  </r>
  <r>
    <s v="AID0063"/>
    <x v="53"/>
    <x v="6"/>
    <x v="2"/>
    <s v="Auto-Rickshaw"/>
    <s v="Clear"/>
    <x v="2"/>
    <x v="3"/>
    <s v="Brake Failure"/>
    <n v="1"/>
  </r>
  <r>
    <s v="AID0064"/>
    <x v="37"/>
    <x v="7"/>
    <x v="0"/>
    <s v="Bus"/>
    <s v="Rainy"/>
    <x v="2"/>
    <x v="3"/>
    <s v="Speeding"/>
    <n v="4"/>
  </r>
  <r>
    <s v="AID0065"/>
    <x v="54"/>
    <x v="2"/>
    <x v="4"/>
    <s v="Auto-Rickshaw"/>
    <s v="Windy"/>
    <x v="0"/>
    <x v="2"/>
    <s v="Distracted Driving"/>
    <n v="1"/>
  </r>
  <r>
    <s v="AID0066"/>
    <x v="49"/>
    <x v="5"/>
    <x v="0"/>
    <s v="Motorcycle"/>
    <s v="Windy"/>
    <x v="3"/>
    <x v="2"/>
    <s v="Overtaking"/>
    <n v="2"/>
  </r>
  <r>
    <s v="AID0067"/>
    <x v="55"/>
    <x v="3"/>
    <x v="1"/>
    <s v="Bicycle"/>
    <s v="Clear"/>
    <x v="3"/>
    <x v="1"/>
    <s v="Speeding"/>
    <n v="1"/>
  </r>
  <r>
    <s v="AID0068"/>
    <x v="41"/>
    <x v="3"/>
    <x v="0"/>
    <s v="Bicycle"/>
    <s v="Windy"/>
    <x v="1"/>
    <x v="0"/>
    <s v="Drunk Driving"/>
    <n v="3"/>
  </r>
  <r>
    <s v="AID0069"/>
    <x v="35"/>
    <x v="1"/>
    <x v="2"/>
    <s v="Motorcycle"/>
    <s v="Rainy"/>
    <x v="2"/>
    <x v="0"/>
    <s v="Overtaking"/>
    <n v="0"/>
  </r>
  <r>
    <s v="AID0070"/>
    <x v="56"/>
    <x v="7"/>
    <x v="2"/>
    <s v="Bicycle"/>
    <s v="Foggy"/>
    <x v="1"/>
    <x v="2"/>
    <s v="Speeding"/>
    <n v="4"/>
  </r>
  <r>
    <s v="AID0071"/>
    <x v="57"/>
    <x v="6"/>
    <x v="3"/>
    <s v="Car"/>
    <s v="Clear"/>
    <x v="0"/>
    <x v="2"/>
    <s v="Overtaking"/>
    <n v="2"/>
  </r>
  <r>
    <s v="AID0072"/>
    <x v="58"/>
    <x v="1"/>
    <x v="2"/>
    <s v="Bus"/>
    <s v="Rainy"/>
    <x v="0"/>
    <x v="3"/>
    <s v="Drunk Driving"/>
    <n v="4"/>
  </r>
  <r>
    <s v="AID0073"/>
    <x v="59"/>
    <x v="3"/>
    <x v="2"/>
    <s v="Motorcycle"/>
    <s v="Windy"/>
    <x v="0"/>
    <x v="2"/>
    <s v="Weather"/>
    <n v="1"/>
  </r>
  <r>
    <s v="AID0074"/>
    <x v="60"/>
    <x v="3"/>
    <x v="2"/>
    <s v="Car"/>
    <s v="Clear"/>
    <x v="3"/>
    <x v="1"/>
    <s v="Drunk Driving"/>
    <n v="3"/>
  </r>
  <r>
    <s v="AID0075"/>
    <x v="5"/>
    <x v="7"/>
    <x v="4"/>
    <s v="Bus"/>
    <s v="Rainy"/>
    <x v="1"/>
    <x v="0"/>
    <s v="Distracted Driving"/>
    <n v="4"/>
  </r>
  <r>
    <s v="AID0076"/>
    <x v="61"/>
    <x v="3"/>
    <x v="3"/>
    <s v="Truck"/>
    <s v="Rainy"/>
    <x v="0"/>
    <x v="1"/>
    <s v="Weather"/>
    <n v="4"/>
  </r>
  <r>
    <s v="AID0077"/>
    <x v="62"/>
    <x v="6"/>
    <x v="3"/>
    <s v="Truck"/>
    <s v="Clear"/>
    <x v="2"/>
    <x v="2"/>
    <s v="Brake Failure"/>
    <n v="2"/>
  </r>
  <r>
    <s v="AID0078"/>
    <x v="63"/>
    <x v="6"/>
    <x v="4"/>
    <s v="Car"/>
    <s v="Clear"/>
    <x v="1"/>
    <x v="1"/>
    <s v="Overtaking"/>
    <n v="0"/>
  </r>
  <r>
    <s v="AID0079"/>
    <x v="64"/>
    <x v="1"/>
    <x v="1"/>
    <s v="Bus"/>
    <s v="Clear"/>
    <x v="3"/>
    <x v="2"/>
    <s v="Overtaking"/>
    <n v="5"/>
  </r>
  <r>
    <s v="AID0080"/>
    <x v="65"/>
    <x v="5"/>
    <x v="0"/>
    <s v="Auto-Rickshaw"/>
    <s v="Rainy"/>
    <x v="0"/>
    <x v="2"/>
    <s v="Distracted Driving"/>
    <n v="4"/>
  </r>
  <r>
    <s v="AID0081"/>
    <x v="66"/>
    <x v="4"/>
    <x v="1"/>
    <s v="Car"/>
    <s v="Clear"/>
    <x v="0"/>
    <x v="3"/>
    <s v="Distracted Driving"/>
    <n v="0"/>
  </r>
  <r>
    <s v="AID0082"/>
    <x v="67"/>
    <x v="5"/>
    <x v="1"/>
    <s v="Bus"/>
    <s v="Windy"/>
    <x v="3"/>
    <x v="1"/>
    <s v="Overtaking"/>
    <n v="3"/>
  </r>
  <r>
    <s v="AID0083"/>
    <x v="68"/>
    <x v="1"/>
    <x v="3"/>
    <s v="Motorcycle"/>
    <s v="Windy"/>
    <x v="1"/>
    <x v="0"/>
    <s v="Weather"/>
    <n v="4"/>
  </r>
  <r>
    <s v="AID0084"/>
    <x v="69"/>
    <x v="2"/>
    <x v="0"/>
    <s v="Motorcycle"/>
    <s v="Rainy"/>
    <x v="2"/>
    <x v="3"/>
    <s v="Brake Failure"/>
    <n v="2"/>
  </r>
  <r>
    <s v="AID0085"/>
    <x v="70"/>
    <x v="4"/>
    <x v="2"/>
    <s v="Truck"/>
    <s v="Foggy"/>
    <x v="3"/>
    <x v="3"/>
    <s v="Speeding"/>
    <n v="3"/>
  </r>
  <r>
    <s v="AID0086"/>
    <x v="56"/>
    <x v="7"/>
    <x v="2"/>
    <s v="Car"/>
    <s v="Clear"/>
    <x v="0"/>
    <x v="3"/>
    <s v="Drunk Driving"/>
    <n v="2"/>
  </r>
  <r>
    <s v="AID0087"/>
    <x v="71"/>
    <x v="5"/>
    <x v="2"/>
    <s v="Motorcycle"/>
    <s v="Windy"/>
    <x v="3"/>
    <x v="0"/>
    <s v="Brake Failure"/>
    <n v="1"/>
  </r>
  <r>
    <s v="AID0088"/>
    <x v="72"/>
    <x v="0"/>
    <x v="3"/>
    <s v="Bicycle"/>
    <s v="Windy"/>
    <x v="0"/>
    <x v="0"/>
    <s v="Weather"/>
    <n v="2"/>
  </r>
  <r>
    <s v="AID0089"/>
    <x v="3"/>
    <x v="6"/>
    <x v="3"/>
    <s v="Auto-Rickshaw"/>
    <s v="Foggy"/>
    <x v="0"/>
    <x v="2"/>
    <s v="Speeding"/>
    <n v="0"/>
  </r>
  <r>
    <s v="AID0090"/>
    <x v="73"/>
    <x v="1"/>
    <x v="1"/>
    <s v="Car"/>
    <s v="Clear"/>
    <x v="0"/>
    <x v="3"/>
    <s v="Overtaking"/>
    <n v="1"/>
  </r>
  <r>
    <s v="AID0091"/>
    <x v="74"/>
    <x v="7"/>
    <x v="4"/>
    <s v="Auto-Rickshaw"/>
    <s v="Foggy"/>
    <x v="2"/>
    <x v="1"/>
    <s v="Speeding"/>
    <n v="4"/>
  </r>
  <r>
    <s v="AID0092"/>
    <x v="7"/>
    <x v="0"/>
    <x v="1"/>
    <s v="Bus"/>
    <s v="Clear"/>
    <x v="1"/>
    <x v="1"/>
    <s v="Distracted Driving"/>
    <n v="1"/>
  </r>
  <r>
    <s v="AID0093"/>
    <x v="75"/>
    <x v="2"/>
    <x v="4"/>
    <s v="Motorcycle"/>
    <s v="Foggy"/>
    <x v="3"/>
    <x v="3"/>
    <s v="Distracted Driving"/>
    <n v="5"/>
  </r>
  <r>
    <s v="AID0094"/>
    <x v="76"/>
    <x v="7"/>
    <x v="2"/>
    <s v="Bicycle"/>
    <s v="Clear"/>
    <x v="1"/>
    <x v="1"/>
    <s v="Distracted Driving"/>
    <n v="0"/>
  </r>
  <r>
    <s v="AID0095"/>
    <x v="77"/>
    <x v="1"/>
    <x v="1"/>
    <s v="Bicycle"/>
    <s v="Clear"/>
    <x v="1"/>
    <x v="2"/>
    <s v="Drunk Driving"/>
    <n v="3"/>
  </r>
  <r>
    <s v="AID0096"/>
    <x v="78"/>
    <x v="3"/>
    <x v="2"/>
    <s v="Car"/>
    <s v="Clear"/>
    <x v="2"/>
    <x v="2"/>
    <s v="Drunk Driving"/>
    <n v="5"/>
  </r>
  <r>
    <s v="AID0097"/>
    <x v="31"/>
    <x v="4"/>
    <x v="3"/>
    <s v="Truck"/>
    <s v="Windy"/>
    <x v="1"/>
    <x v="1"/>
    <s v="Drunk Driving"/>
    <n v="3"/>
  </r>
  <r>
    <s v="AID0098"/>
    <x v="79"/>
    <x v="4"/>
    <x v="4"/>
    <s v="Motorcycle"/>
    <s v="Windy"/>
    <x v="3"/>
    <x v="3"/>
    <s v="Speeding"/>
    <n v="0"/>
  </r>
  <r>
    <s v="AID0099"/>
    <x v="80"/>
    <x v="7"/>
    <x v="0"/>
    <s v="Auto-Rickshaw"/>
    <s v="Clear"/>
    <x v="3"/>
    <x v="2"/>
    <s v="Drunk Driving"/>
    <n v="4"/>
  </r>
  <r>
    <s v="AID0100"/>
    <x v="18"/>
    <x v="5"/>
    <x v="4"/>
    <s v="Motorcycle"/>
    <s v="Windy"/>
    <x v="1"/>
    <x v="3"/>
    <s v="Overtaking"/>
    <n v="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x v="0"/>
    <x v="0"/>
    <x v="0"/>
    <x v="0"/>
    <x v="0"/>
    <s v="Clear"/>
    <x v="0"/>
    <x v="0"/>
    <x v="0"/>
    <n v="0"/>
  </r>
  <r>
    <x v="1"/>
    <x v="1"/>
    <x v="1"/>
    <x v="0"/>
    <x v="0"/>
    <s v="Foggy"/>
    <x v="1"/>
    <x v="0"/>
    <x v="1"/>
    <n v="0"/>
  </r>
  <r>
    <x v="2"/>
    <x v="2"/>
    <x v="1"/>
    <x v="0"/>
    <x v="1"/>
    <s v="Windy"/>
    <x v="2"/>
    <x v="1"/>
    <x v="0"/>
    <n v="3"/>
  </r>
  <r>
    <x v="3"/>
    <x v="3"/>
    <x v="2"/>
    <x v="1"/>
    <x v="2"/>
    <s v="Clear"/>
    <x v="0"/>
    <x v="1"/>
    <x v="2"/>
    <n v="4"/>
  </r>
  <r>
    <x v="4"/>
    <x v="4"/>
    <x v="3"/>
    <x v="2"/>
    <x v="0"/>
    <s v="Clear"/>
    <x v="1"/>
    <x v="0"/>
    <x v="3"/>
    <n v="0"/>
  </r>
  <r>
    <x v="5"/>
    <x v="5"/>
    <x v="3"/>
    <x v="2"/>
    <x v="3"/>
    <s v="Rainy"/>
    <x v="1"/>
    <x v="2"/>
    <x v="4"/>
    <n v="4"/>
  </r>
  <r>
    <x v="6"/>
    <x v="6"/>
    <x v="4"/>
    <x v="2"/>
    <x v="3"/>
    <s v="Rainy"/>
    <x v="0"/>
    <x v="2"/>
    <x v="5"/>
    <n v="2"/>
  </r>
  <r>
    <x v="7"/>
    <x v="7"/>
    <x v="0"/>
    <x v="0"/>
    <x v="3"/>
    <s v="Foggy"/>
    <x v="3"/>
    <x v="0"/>
    <x v="5"/>
    <n v="5"/>
  </r>
  <r>
    <x v="8"/>
    <x v="8"/>
    <x v="1"/>
    <x v="1"/>
    <x v="3"/>
    <s v="Windy"/>
    <x v="2"/>
    <x v="2"/>
    <x v="3"/>
    <n v="2"/>
  </r>
  <r>
    <x v="9"/>
    <x v="9"/>
    <x v="5"/>
    <x v="1"/>
    <x v="4"/>
    <s v="Clear"/>
    <x v="2"/>
    <x v="3"/>
    <x v="5"/>
    <n v="5"/>
  </r>
  <r>
    <x v="10"/>
    <x v="10"/>
    <x v="2"/>
    <x v="3"/>
    <x v="0"/>
    <s v="Clear"/>
    <x v="1"/>
    <x v="1"/>
    <x v="0"/>
    <n v="0"/>
  </r>
  <r>
    <x v="11"/>
    <x v="11"/>
    <x v="5"/>
    <x v="4"/>
    <x v="3"/>
    <s v="Clear"/>
    <x v="2"/>
    <x v="3"/>
    <x v="0"/>
    <n v="3"/>
  </r>
  <r>
    <x v="12"/>
    <x v="1"/>
    <x v="3"/>
    <x v="4"/>
    <x v="1"/>
    <s v="Rainy"/>
    <x v="3"/>
    <x v="3"/>
    <x v="5"/>
    <n v="1"/>
  </r>
  <r>
    <x v="13"/>
    <x v="12"/>
    <x v="6"/>
    <x v="0"/>
    <x v="5"/>
    <s v="Foggy"/>
    <x v="0"/>
    <x v="3"/>
    <x v="4"/>
    <n v="2"/>
  </r>
  <r>
    <x v="14"/>
    <x v="13"/>
    <x v="6"/>
    <x v="4"/>
    <x v="4"/>
    <s v="Foggy"/>
    <x v="2"/>
    <x v="0"/>
    <x v="2"/>
    <n v="1"/>
  </r>
  <r>
    <x v="15"/>
    <x v="14"/>
    <x v="6"/>
    <x v="0"/>
    <x v="2"/>
    <s v="Foggy"/>
    <x v="1"/>
    <x v="3"/>
    <x v="1"/>
    <n v="5"/>
  </r>
  <r>
    <x v="16"/>
    <x v="15"/>
    <x v="0"/>
    <x v="1"/>
    <x v="4"/>
    <s v="Windy"/>
    <x v="2"/>
    <x v="0"/>
    <x v="1"/>
    <n v="4"/>
  </r>
  <r>
    <x v="17"/>
    <x v="16"/>
    <x v="7"/>
    <x v="0"/>
    <x v="3"/>
    <s v="Windy"/>
    <x v="2"/>
    <x v="0"/>
    <x v="2"/>
    <n v="3"/>
  </r>
  <r>
    <x v="18"/>
    <x v="17"/>
    <x v="4"/>
    <x v="0"/>
    <x v="4"/>
    <s v="Rainy"/>
    <x v="3"/>
    <x v="3"/>
    <x v="4"/>
    <n v="4"/>
  </r>
  <r>
    <x v="19"/>
    <x v="18"/>
    <x v="4"/>
    <x v="1"/>
    <x v="1"/>
    <s v="Rainy"/>
    <x v="1"/>
    <x v="0"/>
    <x v="2"/>
    <n v="5"/>
  </r>
  <r>
    <x v="20"/>
    <x v="19"/>
    <x v="2"/>
    <x v="2"/>
    <x v="4"/>
    <s v="Windy"/>
    <x v="1"/>
    <x v="2"/>
    <x v="1"/>
    <n v="5"/>
  </r>
  <r>
    <x v="21"/>
    <x v="20"/>
    <x v="0"/>
    <x v="3"/>
    <x v="2"/>
    <s v="Foggy"/>
    <x v="2"/>
    <x v="1"/>
    <x v="3"/>
    <n v="4"/>
  </r>
  <r>
    <x v="22"/>
    <x v="13"/>
    <x v="6"/>
    <x v="1"/>
    <x v="1"/>
    <s v="Rainy"/>
    <x v="2"/>
    <x v="3"/>
    <x v="3"/>
    <n v="4"/>
  </r>
  <r>
    <x v="23"/>
    <x v="21"/>
    <x v="1"/>
    <x v="3"/>
    <x v="2"/>
    <s v="Rainy"/>
    <x v="0"/>
    <x v="0"/>
    <x v="0"/>
    <n v="0"/>
  </r>
  <r>
    <x v="24"/>
    <x v="22"/>
    <x v="4"/>
    <x v="2"/>
    <x v="4"/>
    <s v="Rainy"/>
    <x v="1"/>
    <x v="1"/>
    <x v="4"/>
    <n v="1"/>
  </r>
  <r>
    <x v="25"/>
    <x v="23"/>
    <x v="2"/>
    <x v="1"/>
    <x v="5"/>
    <s v="Clear"/>
    <x v="1"/>
    <x v="0"/>
    <x v="3"/>
    <n v="0"/>
  </r>
  <r>
    <x v="26"/>
    <x v="24"/>
    <x v="0"/>
    <x v="4"/>
    <x v="3"/>
    <s v="Windy"/>
    <x v="3"/>
    <x v="1"/>
    <x v="0"/>
    <n v="0"/>
  </r>
  <r>
    <x v="27"/>
    <x v="25"/>
    <x v="0"/>
    <x v="0"/>
    <x v="1"/>
    <s v="Foggy"/>
    <x v="0"/>
    <x v="3"/>
    <x v="2"/>
    <n v="4"/>
  </r>
  <r>
    <x v="28"/>
    <x v="26"/>
    <x v="6"/>
    <x v="2"/>
    <x v="0"/>
    <s v="Rainy"/>
    <x v="1"/>
    <x v="3"/>
    <x v="3"/>
    <n v="4"/>
  </r>
  <r>
    <x v="29"/>
    <x v="27"/>
    <x v="2"/>
    <x v="4"/>
    <x v="3"/>
    <s v="Foggy"/>
    <x v="2"/>
    <x v="3"/>
    <x v="1"/>
    <n v="0"/>
  </r>
  <r>
    <x v="30"/>
    <x v="28"/>
    <x v="7"/>
    <x v="3"/>
    <x v="4"/>
    <s v="Rainy"/>
    <x v="3"/>
    <x v="3"/>
    <x v="0"/>
    <n v="5"/>
  </r>
  <r>
    <x v="31"/>
    <x v="29"/>
    <x v="6"/>
    <x v="4"/>
    <x v="0"/>
    <s v="Rainy"/>
    <x v="1"/>
    <x v="1"/>
    <x v="4"/>
    <n v="2"/>
  </r>
  <r>
    <x v="32"/>
    <x v="30"/>
    <x v="2"/>
    <x v="3"/>
    <x v="0"/>
    <s v="Windy"/>
    <x v="1"/>
    <x v="1"/>
    <x v="1"/>
    <n v="1"/>
  </r>
  <r>
    <x v="33"/>
    <x v="31"/>
    <x v="7"/>
    <x v="2"/>
    <x v="1"/>
    <s v="Clear"/>
    <x v="2"/>
    <x v="2"/>
    <x v="4"/>
    <n v="1"/>
  </r>
  <r>
    <x v="34"/>
    <x v="32"/>
    <x v="1"/>
    <x v="0"/>
    <x v="2"/>
    <s v="Clear"/>
    <x v="3"/>
    <x v="3"/>
    <x v="5"/>
    <n v="3"/>
  </r>
  <r>
    <x v="35"/>
    <x v="33"/>
    <x v="7"/>
    <x v="2"/>
    <x v="0"/>
    <s v="Clear"/>
    <x v="3"/>
    <x v="0"/>
    <x v="1"/>
    <n v="4"/>
  </r>
  <r>
    <x v="36"/>
    <x v="18"/>
    <x v="5"/>
    <x v="3"/>
    <x v="4"/>
    <s v="Clear"/>
    <x v="2"/>
    <x v="2"/>
    <x v="0"/>
    <n v="5"/>
  </r>
  <r>
    <x v="37"/>
    <x v="34"/>
    <x v="3"/>
    <x v="0"/>
    <x v="0"/>
    <s v="Windy"/>
    <x v="2"/>
    <x v="3"/>
    <x v="5"/>
    <n v="0"/>
  </r>
  <r>
    <x v="38"/>
    <x v="35"/>
    <x v="2"/>
    <x v="2"/>
    <x v="3"/>
    <s v="Foggy"/>
    <x v="2"/>
    <x v="1"/>
    <x v="5"/>
    <n v="2"/>
  </r>
  <r>
    <x v="39"/>
    <x v="36"/>
    <x v="0"/>
    <x v="0"/>
    <x v="0"/>
    <s v="Rainy"/>
    <x v="1"/>
    <x v="1"/>
    <x v="3"/>
    <n v="1"/>
  </r>
  <r>
    <x v="40"/>
    <x v="37"/>
    <x v="0"/>
    <x v="2"/>
    <x v="0"/>
    <s v="Clear"/>
    <x v="3"/>
    <x v="2"/>
    <x v="2"/>
    <n v="4"/>
  </r>
  <r>
    <x v="41"/>
    <x v="38"/>
    <x v="1"/>
    <x v="1"/>
    <x v="3"/>
    <s v="Foggy"/>
    <x v="2"/>
    <x v="2"/>
    <x v="5"/>
    <n v="2"/>
  </r>
  <r>
    <x v="42"/>
    <x v="34"/>
    <x v="3"/>
    <x v="0"/>
    <x v="1"/>
    <s v="Windy"/>
    <x v="2"/>
    <x v="2"/>
    <x v="2"/>
    <n v="2"/>
  </r>
  <r>
    <x v="43"/>
    <x v="39"/>
    <x v="0"/>
    <x v="2"/>
    <x v="3"/>
    <s v="Windy"/>
    <x v="3"/>
    <x v="1"/>
    <x v="3"/>
    <n v="4"/>
  </r>
  <r>
    <x v="44"/>
    <x v="40"/>
    <x v="0"/>
    <x v="0"/>
    <x v="5"/>
    <s v="Clear"/>
    <x v="3"/>
    <x v="3"/>
    <x v="2"/>
    <n v="3"/>
  </r>
  <r>
    <x v="45"/>
    <x v="41"/>
    <x v="1"/>
    <x v="2"/>
    <x v="4"/>
    <s v="Rainy"/>
    <x v="0"/>
    <x v="2"/>
    <x v="5"/>
    <n v="0"/>
  </r>
  <r>
    <x v="46"/>
    <x v="42"/>
    <x v="0"/>
    <x v="0"/>
    <x v="3"/>
    <s v="Foggy"/>
    <x v="0"/>
    <x v="3"/>
    <x v="0"/>
    <n v="1"/>
  </r>
  <r>
    <x v="47"/>
    <x v="43"/>
    <x v="6"/>
    <x v="2"/>
    <x v="4"/>
    <s v="Rainy"/>
    <x v="3"/>
    <x v="1"/>
    <x v="4"/>
    <n v="0"/>
  </r>
  <r>
    <x v="48"/>
    <x v="7"/>
    <x v="7"/>
    <x v="1"/>
    <x v="4"/>
    <s v="Clear"/>
    <x v="0"/>
    <x v="0"/>
    <x v="3"/>
    <n v="5"/>
  </r>
  <r>
    <x v="49"/>
    <x v="33"/>
    <x v="3"/>
    <x v="4"/>
    <x v="2"/>
    <s v="Foggy"/>
    <x v="1"/>
    <x v="2"/>
    <x v="5"/>
    <n v="2"/>
  </r>
  <r>
    <x v="50"/>
    <x v="44"/>
    <x v="5"/>
    <x v="1"/>
    <x v="1"/>
    <s v="Windy"/>
    <x v="0"/>
    <x v="0"/>
    <x v="4"/>
    <n v="0"/>
  </r>
  <r>
    <x v="51"/>
    <x v="29"/>
    <x v="4"/>
    <x v="2"/>
    <x v="2"/>
    <s v="Foggy"/>
    <x v="1"/>
    <x v="3"/>
    <x v="3"/>
    <n v="2"/>
  </r>
  <r>
    <x v="52"/>
    <x v="45"/>
    <x v="7"/>
    <x v="4"/>
    <x v="3"/>
    <s v="Windy"/>
    <x v="2"/>
    <x v="0"/>
    <x v="4"/>
    <n v="3"/>
  </r>
  <r>
    <x v="53"/>
    <x v="46"/>
    <x v="0"/>
    <x v="2"/>
    <x v="2"/>
    <s v="Windy"/>
    <x v="0"/>
    <x v="3"/>
    <x v="4"/>
    <n v="5"/>
  </r>
  <r>
    <x v="54"/>
    <x v="47"/>
    <x v="0"/>
    <x v="0"/>
    <x v="0"/>
    <s v="Clear"/>
    <x v="1"/>
    <x v="0"/>
    <x v="2"/>
    <n v="4"/>
  </r>
  <r>
    <x v="55"/>
    <x v="48"/>
    <x v="3"/>
    <x v="0"/>
    <x v="5"/>
    <s v="Foggy"/>
    <x v="2"/>
    <x v="0"/>
    <x v="4"/>
    <n v="3"/>
  </r>
  <r>
    <x v="56"/>
    <x v="47"/>
    <x v="3"/>
    <x v="0"/>
    <x v="5"/>
    <s v="Windy"/>
    <x v="2"/>
    <x v="2"/>
    <x v="5"/>
    <n v="5"/>
  </r>
  <r>
    <x v="57"/>
    <x v="49"/>
    <x v="0"/>
    <x v="1"/>
    <x v="0"/>
    <s v="Foggy"/>
    <x v="3"/>
    <x v="2"/>
    <x v="2"/>
    <n v="2"/>
  </r>
  <r>
    <x v="58"/>
    <x v="18"/>
    <x v="1"/>
    <x v="1"/>
    <x v="3"/>
    <s v="Foggy"/>
    <x v="2"/>
    <x v="1"/>
    <x v="5"/>
    <n v="4"/>
  </r>
  <r>
    <x v="59"/>
    <x v="50"/>
    <x v="2"/>
    <x v="0"/>
    <x v="3"/>
    <s v="Rainy"/>
    <x v="0"/>
    <x v="1"/>
    <x v="4"/>
    <n v="2"/>
  </r>
  <r>
    <x v="60"/>
    <x v="51"/>
    <x v="0"/>
    <x v="2"/>
    <x v="1"/>
    <s v="Foggy"/>
    <x v="2"/>
    <x v="1"/>
    <x v="2"/>
    <n v="5"/>
  </r>
  <r>
    <x v="61"/>
    <x v="52"/>
    <x v="1"/>
    <x v="1"/>
    <x v="4"/>
    <s v="Foggy"/>
    <x v="1"/>
    <x v="2"/>
    <x v="5"/>
    <n v="5"/>
  </r>
  <r>
    <x v="62"/>
    <x v="53"/>
    <x v="6"/>
    <x v="2"/>
    <x v="0"/>
    <s v="Clear"/>
    <x v="2"/>
    <x v="3"/>
    <x v="2"/>
    <n v="1"/>
  </r>
  <r>
    <x v="63"/>
    <x v="37"/>
    <x v="7"/>
    <x v="0"/>
    <x v="5"/>
    <s v="Rainy"/>
    <x v="2"/>
    <x v="3"/>
    <x v="5"/>
    <n v="4"/>
  </r>
  <r>
    <x v="64"/>
    <x v="54"/>
    <x v="2"/>
    <x v="4"/>
    <x v="0"/>
    <s v="Windy"/>
    <x v="0"/>
    <x v="2"/>
    <x v="1"/>
    <n v="1"/>
  </r>
  <r>
    <x v="65"/>
    <x v="49"/>
    <x v="5"/>
    <x v="0"/>
    <x v="4"/>
    <s v="Windy"/>
    <x v="3"/>
    <x v="2"/>
    <x v="0"/>
    <n v="2"/>
  </r>
  <r>
    <x v="66"/>
    <x v="55"/>
    <x v="3"/>
    <x v="1"/>
    <x v="1"/>
    <s v="Clear"/>
    <x v="3"/>
    <x v="1"/>
    <x v="5"/>
    <n v="1"/>
  </r>
  <r>
    <x v="67"/>
    <x v="41"/>
    <x v="3"/>
    <x v="0"/>
    <x v="1"/>
    <s v="Windy"/>
    <x v="1"/>
    <x v="0"/>
    <x v="4"/>
    <n v="3"/>
  </r>
  <r>
    <x v="68"/>
    <x v="35"/>
    <x v="1"/>
    <x v="2"/>
    <x v="4"/>
    <s v="Rainy"/>
    <x v="2"/>
    <x v="0"/>
    <x v="0"/>
    <n v="0"/>
  </r>
  <r>
    <x v="69"/>
    <x v="56"/>
    <x v="7"/>
    <x v="2"/>
    <x v="1"/>
    <s v="Foggy"/>
    <x v="1"/>
    <x v="2"/>
    <x v="5"/>
    <n v="4"/>
  </r>
  <r>
    <x v="70"/>
    <x v="57"/>
    <x v="6"/>
    <x v="3"/>
    <x v="3"/>
    <s v="Clear"/>
    <x v="0"/>
    <x v="2"/>
    <x v="0"/>
    <n v="2"/>
  </r>
  <r>
    <x v="71"/>
    <x v="58"/>
    <x v="1"/>
    <x v="2"/>
    <x v="5"/>
    <s v="Rainy"/>
    <x v="0"/>
    <x v="3"/>
    <x v="4"/>
    <n v="4"/>
  </r>
  <r>
    <x v="72"/>
    <x v="59"/>
    <x v="3"/>
    <x v="2"/>
    <x v="4"/>
    <s v="Windy"/>
    <x v="0"/>
    <x v="2"/>
    <x v="3"/>
    <n v="1"/>
  </r>
  <r>
    <x v="73"/>
    <x v="60"/>
    <x v="3"/>
    <x v="2"/>
    <x v="3"/>
    <s v="Clear"/>
    <x v="3"/>
    <x v="1"/>
    <x v="4"/>
    <n v="3"/>
  </r>
  <r>
    <x v="74"/>
    <x v="5"/>
    <x v="7"/>
    <x v="4"/>
    <x v="5"/>
    <s v="Rainy"/>
    <x v="1"/>
    <x v="0"/>
    <x v="1"/>
    <n v="4"/>
  </r>
  <r>
    <x v="75"/>
    <x v="61"/>
    <x v="3"/>
    <x v="3"/>
    <x v="2"/>
    <s v="Rainy"/>
    <x v="0"/>
    <x v="1"/>
    <x v="3"/>
    <n v="4"/>
  </r>
  <r>
    <x v="76"/>
    <x v="62"/>
    <x v="6"/>
    <x v="3"/>
    <x v="2"/>
    <s v="Clear"/>
    <x v="2"/>
    <x v="2"/>
    <x v="2"/>
    <n v="2"/>
  </r>
  <r>
    <x v="77"/>
    <x v="63"/>
    <x v="6"/>
    <x v="4"/>
    <x v="3"/>
    <s v="Clear"/>
    <x v="1"/>
    <x v="1"/>
    <x v="0"/>
    <n v="0"/>
  </r>
  <r>
    <x v="78"/>
    <x v="64"/>
    <x v="1"/>
    <x v="1"/>
    <x v="5"/>
    <s v="Clear"/>
    <x v="3"/>
    <x v="2"/>
    <x v="0"/>
    <n v="5"/>
  </r>
  <r>
    <x v="79"/>
    <x v="65"/>
    <x v="5"/>
    <x v="0"/>
    <x v="0"/>
    <s v="Rainy"/>
    <x v="0"/>
    <x v="2"/>
    <x v="1"/>
    <n v="4"/>
  </r>
  <r>
    <x v="80"/>
    <x v="66"/>
    <x v="4"/>
    <x v="1"/>
    <x v="3"/>
    <s v="Clear"/>
    <x v="0"/>
    <x v="3"/>
    <x v="1"/>
    <n v="0"/>
  </r>
  <r>
    <x v="81"/>
    <x v="67"/>
    <x v="5"/>
    <x v="1"/>
    <x v="5"/>
    <s v="Windy"/>
    <x v="3"/>
    <x v="1"/>
    <x v="0"/>
    <n v="3"/>
  </r>
  <r>
    <x v="82"/>
    <x v="68"/>
    <x v="1"/>
    <x v="3"/>
    <x v="4"/>
    <s v="Windy"/>
    <x v="1"/>
    <x v="0"/>
    <x v="3"/>
    <n v="4"/>
  </r>
  <r>
    <x v="83"/>
    <x v="69"/>
    <x v="2"/>
    <x v="0"/>
    <x v="4"/>
    <s v="Rainy"/>
    <x v="2"/>
    <x v="3"/>
    <x v="2"/>
    <n v="2"/>
  </r>
  <r>
    <x v="84"/>
    <x v="70"/>
    <x v="4"/>
    <x v="2"/>
    <x v="2"/>
    <s v="Foggy"/>
    <x v="3"/>
    <x v="3"/>
    <x v="5"/>
    <n v="3"/>
  </r>
  <r>
    <x v="85"/>
    <x v="56"/>
    <x v="7"/>
    <x v="2"/>
    <x v="3"/>
    <s v="Clear"/>
    <x v="0"/>
    <x v="3"/>
    <x v="4"/>
    <n v="2"/>
  </r>
  <r>
    <x v="86"/>
    <x v="71"/>
    <x v="5"/>
    <x v="2"/>
    <x v="4"/>
    <s v="Windy"/>
    <x v="3"/>
    <x v="0"/>
    <x v="2"/>
    <n v="1"/>
  </r>
  <r>
    <x v="87"/>
    <x v="72"/>
    <x v="0"/>
    <x v="3"/>
    <x v="1"/>
    <s v="Windy"/>
    <x v="0"/>
    <x v="0"/>
    <x v="3"/>
    <n v="2"/>
  </r>
  <r>
    <x v="88"/>
    <x v="3"/>
    <x v="6"/>
    <x v="3"/>
    <x v="0"/>
    <s v="Foggy"/>
    <x v="0"/>
    <x v="2"/>
    <x v="5"/>
    <n v="0"/>
  </r>
  <r>
    <x v="89"/>
    <x v="73"/>
    <x v="1"/>
    <x v="1"/>
    <x v="3"/>
    <s v="Clear"/>
    <x v="0"/>
    <x v="3"/>
    <x v="0"/>
    <n v="1"/>
  </r>
  <r>
    <x v="90"/>
    <x v="74"/>
    <x v="7"/>
    <x v="4"/>
    <x v="0"/>
    <s v="Foggy"/>
    <x v="2"/>
    <x v="1"/>
    <x v="5"/>
    <n v="4"/>
  </r>
  <r>
    <x v="91"/>
    <x v="7"/>
    <x v="0"/>
    <x v="1"/>
    <x v="5"/>
    <s v="Clear"/>
    <x v="1"/>
    <x v="1"/>
    <x v="1"/>
    <n v="1"/>
  </r>
  <r>
    <x v="92"/>
    <x v="75"/>
    <x v="2"/>
    <x v="4"/>
    <x v="4"/>
    <s v="Foggy"/>
    <x v="3"/>
    <x v="3"/>
    <x v="1"/>
    <n v="5"/>
  </r>
  <r>
    <x v="93"/>
    <x v="76"/>
    <x v="7"/>
    <x v="2"/>
    <x v="1"/>
    <s v="Clear"/>
    <x v="1"/>
    <x v="1"/>
    <x v="1"/>
    <n v="0"/>
  </r>
  <r>
    <x v="94"/>
    <x v="77"/>
    <x v="1"/>
    <x v="1"/>
    <x v="1"/>
    <s v="Clear"/>
    <x v="1"/>
    <x v="2"/>
    <x v="4"/>
    <n v="3"/>
  </r>
  <r>
    <x v="95"/>
    <x v="78"/>
    <x v="3"/>
    <x v="2"/>
    <x v="3"/>
    <s v="Clear"/>
    <x v="2"/>
    <x v="2"/>
    <x v="4"/>
    <n v="5"/>
  </r>
  <r>
    <x v="96"/>
    <x v="31"/>
    <x v="4"/>
    <x v="3"/>
    <x v="2"/>
    <s v="Windy"/>
    <x v="1"/>
    <x v="1"/>
    <x v="4"/>
    <n v="3"/>
  </r>
  <r>
    <x v="97"/>
    <x v="79"/>
    <x v="4"/>
    <x v="4"/>
    <x v="4"/>
    <s v="Windy"/>
    <x v="3"/>
    <x v="3"/>
    <x v="5"/>
    <n v="0"/>
  </r>
  <r>
    <x v="98"/>
    <x v="80"/>
    <x v="7"/>
    <x v="0"/>
    <x v="0"/>
    <s v="Clear"/>
    <x v="3"/>
    <x v="2"/>
    <x v="4"/>
    <n v="4"/>
  </r>
  <r>
    <x v="99"/>
    <x v="18"/>
    <x v="5"/>
    <x v="4"/>
    <x v="4"/>
    <s v="Windy"/>
    <x v="1"/>
    <x v="3"/>
    <x v="0"/>
    <n v="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CUST1000"/>
    <x v="0"/>
    <s v="India"/>
    <s v="Karnataka"/>
    <n v="9515759149"/>
    <x v="0"/>
    <s v="Shirt"/>
    <n v="2439.81"/>
    <n v="5"/>
    <n v="3559.55"/>
    <s v="Credit Card"/>
    <n v="12199.05"/>
    <s v="Medium"/>
    <n v="29.18"/>
  </r>
  <r>
    <s v="CUST1001"/>
    <x v="0"/>
    <s v="India"/>
    <s v="Karnataka"/>
    <n v="9720381947"/>
    <x v="1"/>
    <s v="Table"/>
    <n v="1621.43"/>
    <n v="13"/>
    <n v="4029.57"/>
    <s v="Net Banking"/>
    <n v="21078.59"/>
    <s v="High"/>
    <n v="19.12"/>
  </r>
  <r>
    <s v="CUST1002"/>
    <x v="1"/>
    <s v="India"/>
    <s v="West Bengal"/>
    <n v="9483465530"/>
    <x v="0"/>
    <s v="T-shirt"/>
    <n v="1363.73"/>
    <n v="1"/>
    <n v="362.2"/>
    <s v="Net Banking"/>
    <n v="1363.73"/>
    <s v="Low"/>
    <n v="26.56"/>
  </r>
  <r>
    <s v="CUST1003"/>
    <x v="1"/>
    <s v="India"/>
    <s v="West Bengal"/>
    <n v="9350165589"/>
    <x v="1"/>
    <s v="Sofa"/>
    <n v="1172.93"/>
    <n v="5"/>
    <n v="1542.65"/>
    <s v="Cash"/>
    <n v="5864.6500000000005"/>
    <s v="Low"/>
    <n v="26.3"/>
  </r>
  <r>
    <s v="CUST1004"/>
    <x v="1"/>
    <s v="India"/>
    <s v="Karnataka"/>
    <n v="9621991901"/>
    <x v="0"/>
    <s v="Jeans"/>
    <n v="2457.56"/>
    <n v="13"/>
    <n v="6972.71"/>
    <s v="Credit Card"/>
    <n v="31948.28"/>
    <s v="High"/>
    <n v="21.82"/>
  </r>
  <r>
    <s v="CUST1005"/>
    <x v="1"/>
    <s v="India"/>
    <s v="West Bengal"/>
    <n v="9734105442"/>
    <x v="0"/>
    <s v="Dress"/>
    <n v="2661.44"/>
    <n v="7"/>
    <n v="2581.67"/>
    <s v="Net Banking"/>
    <n v="18630.080000000002"/>
    <s v="Medium"/>
    <n v="13.86"/>
  </r>
  <r>
    <s v="CUST1006"/>
    <x v="2"/>
    <s v="India"/>
    <s v="Tamil Nadu"/>
    <n v="9117390999"/>
    <x v="0"/>
    <s v="T-shirt"/>
    <n v="1400.82"/>
    <n v="6"/>
    <n v="994.44"/>
    <s v="UPI"/>
    <n v="8404.92"/>
    <s v="Low"/>
    <n v="11.83"/>
  </r>
  <r>
    <s v="CUST1007"/>
    <x v="0"/>
    <s v="India"/>
    <s v="Karnataka"/>
    <n v="9513032833"/>
    <x v="1"/>
    <s v="Chair"/>
    <n v="416.18"/>
    <n v="3"/>
    <n v="327.88"/>
    <s v="Net Banking"/>
    <n v="1248.54"/>
    <s v="Low"/>
    <n v="26.26"/>
  </r>
  <r>
    <s v="CUST1008"/>
    <x v="1"/>
    <s v="India"/>
    <s v="Maharashtra"/>
    <n v="95543976868"/>
    <x v="1"/>
    <s v="Chair"/>
    <n v="1290.47"/>
    <n v="6"/>
    <n v="1045.43"/>
    <s v="Net Banking"/>
    <n v="7742.82"/>
    <s v="Low"/>
    <n v="13.5"/>
  </r>
  <r>
    <s v="CUST1009"/>
    <x v="0"/>
    <s v="India"/>
    <s v="Gujarat"/>
    <n v="9866250123"/>
    <x v="0"/>
    <s v="T-shirt"/>
    <n v="2519.94"/>
    <n v="15"/>
    <n v="11123.31"/>
    <s v="Cash"/>
    <n v="37799.1"/>
    <s v="High"/>
    <n v="29.43"/>
  </r>
  <r>
    <s v="CUST1010"/>
    <x v="1"/>
    <s v="India"/>
    <s v="Rajasthan"/>
    <n v="9884314044"/>
    <x v="0"/>
    <s v="T-shirt"/>
    <n v="2814.97"/>
    <n v="1"/>
    <n v="716.15"/>
    <s v="Net Banking"/>
    <n v="2814.97"/>
    <s v="Low"/>
    <n v="25.44"/>
  </r>
  <r>
    <s v="CUST1011"/>
    <x v="2"/>
    <s v="India"/>
    <s v="West Bengal"/>
    <n v="9192128284"/>
    <x v="0"/>
    <s v="Jeans"/>
    <n v="841.72"/>
    <n v="13"/>
    <n v="2130.1799999999998"/>
    <s v="UPI"/>
    <n v="10942.36"/>
    <s v="Medium"/>
    <n v="19.47"/>
  </r>
  <r>
    <s v="CUST1012"/>
    <x v="3"/>
    <s v="India"/>
    <s v="West Bengal"/>
    <n v="9731590483"/>
    <x v="2"/>
    <s v="Tablet"/>
    <n v="1169.28"/>
    <n v="2"/>
    <n v="273.95"/>
    <s v="Credit Card"/>
    <n v="2338.56"/>
    <s v="Low"/>
    <n v="11.71"/>
  </r>
  <r>
    <s v="CUST1013"/>
    <x v="0"/>
    <s v="India"/>
    <s v="Karnataka"/>
    <n v="9245312903"/>
    <x v="1"/>
    <s v="Bookshelf"/>
    <n v="2320.0300000000002"/>
    <n v="3"/>
    <n v="1260.55"/>
    <s v="Credit Card"/>
    <n v="6960.09"/>
    <s v="Low"/>
    <n v="18.11"/>
  </r>
  <r>
    <s v="CUST1014"/>
    <x v="3"/>
    <s v="India"/>
    <s v="West Bengal"/>
    <n v="9587137236"/>
    <x v="0"/>
    <s v="T-shirt"/>
    <n v="1780.66"/>
    <n v="11"/>
    <n v="2826.93"/>
    <s v="UPI"/>
    <n v="19587.260000000002"/>
    <s v="Medium"/>
    <n v="14.43"/>
  </r>
  <r>
    <s v="CUST1015"/>
    <x v="3"/>
    <s v="India"/>
    <s v="Tamil Nadu"/>
    <n v="9161819590"/>
    <x v="2"/>
    <s v="Monitor"/>
    <n v="2672"/>
    <n v="15"/>
    <n v="4719.91"/>
    <s v="Cash"/>
    <n v="40080"/>
    <s v="High"/>
    <n v="11.78"/>
  </r>
  <r>
    <s v="CUST1016"/>
    <x v="1"/>
    <s v="India"/>
    <s v="West Bengal"/>
    <n v="9551484924"/>
    <x v="0"/>
    <s v="Jacket"/>
    <n v="824.49"/>
    <n v="9"/>
    <n v="1403.14"/>
    <s v="Debit Card"/>
    <n v="7420.41"/>
    <s v="Low"/>
    <n v="18.91"/>
  </r>
  <r>
    <s v="CUST1017"/>
    <x v="2"/>
    <s v="India"/>
    <s v="Uttar Pradesh"/>
    <n v="91682255459"/>
    <x v="2"/>
    <s v="Headphones"/>
    <n v="2896.96"/>
    <n v="7"/>
    <n v="3528.3"/>
    <s v="Net Banking"/>
    <n v="20278.72"/>
    <s v="High"/>
    <n v="17.399999999999999"/>
  </r>
  <r>
    <s v="CUST1018"/>
    <x v="1"/>
    <s v="India"/>
    <s v="Maharashtra"/>
    <n v="9277023818"/>
    <x v="2"/>
    <s v="Monitor"/>
    <n v="1235.32"/>
    <n v="9"/>
    <n v="2542.0700000000002"/>
    <s v="Debit Card"/>
    <n v="11117.88"/>
    <s v="Medium"/>
    <n v="22.86"/>
  </r>
  <r>
    <s v="CUST1019"/>
    <x v="2"/>
    <s v="India"/>
    <s v="Gujarat"/>
    <n v="9670448490"/>
    <x v="1"/>
    <s v="Table"/>
    <n v="2168.33"/>
    <n v="3"/>
    <n v="1394.93"/>
    <s v="Cash"/>
    <n v="6504.99"/>
    <s v="Low"/>
    <n v="21.44"/>
  </r>
  <r>
    <s v="CUST1020"/>
    <x v="2"/>
    <s v="India"/>
    <s v="West Bengal"/>
    <n v="9123788207"/>
    <x v="0"/>
    <s v="Jacket"/>
    <n v="2654.54"/>
    <n v="5"/>
    <n v="3308.52"/>
    <s v="Debit Card"/>
    <n v="13272.7"/>
    <s v="Medium"/>
    <n v="24.93"/>
  </r>
  <r>
    <s v="CUST1021"/>
    <x v="0"/>
    <s v="India"/>
    <s v="Tamil Nadu"/>
    <n v="99831923457"/>
    <x v="2"/>
    <s v="Laptop"/>
    <n v="1313.77"/>
    <n v="7"/>
    <n v="2435.5500000000002"/>
    <s v="Cash"/>
    <n v="9196.39"/>
    <s v="Low"/>
    <n v="26.48"/>
  </r>
  <r>
    <s v="CUST1022"/>
    <x v="2"/>
    <s v="India"/>
    <s v="Gujarat"/>
    <n v="9822358874"/>
    <x v="2"/>
    <s v="Headphones"/>
    <n v="1602.24"/>
    <n v="13"/>
    <n v="3082.85"/>
    <s v="Debit Card"/>
    <n v="20829.12"/>
    <s v="High"/>
    <n v="14.8"/>
  </r>
  <r>
    <s v="CUST1023"/>
    <x v="0"/>
    <s v="India"/>
    <s v="Uttar Pradesh"/>
    <n v="9497595031"/>
    <x v="1"/>
    <s v="Sofa"/>
    <n v="592.33000000000004"/>
    <n v="4"/>
    <n v="539.64"/>
    <s v="Net Banking"/>
    <n v="2369.3200000000002"/>
    <s v="Low"/>
    <n v="22.78"/>
  </r>
  <r>
    <s v="CUST1024"/>
    <x v="1"/>
    <s v="India"/>
    <s v="Rajasthan"/>
    <n v="9781615192"/>
    <x v="2"/>
    <s v="Monitor"/>
    <n v="589.14"/>
    <n v="8"/>
    <n v="1252.56"/>
    <s v="Cash"/>
    <n v="4713.12"/>
    <s v="Low"/>
    <n v="26.58"/>
  </r>
  <r>
    <s v="CUST1025"/>
    <x v="3"/>
    <s v="India"/>
    <s v="Uttar Pradesh"/>
    <n v="9310431691"/>
    <x v="1"/>
    <s v="Chair"/>
    <n v="2354.6"/>
    <n v="4"/>
    <n v="2575.4299999999998"/>
    <s v="Credit Card"/>
    <n v="9418.4"/>
    <s v="Low"/>
    <n v="27.34"/>
  </r>
  <r>
    <s v="CUST1026"/>
    <x v="2"/>
    <s v="India"/>
    <s v="Uttar Pradesh"/>
    <n v="9375633062"/>
    <x v="2"/>
    <s v="Smartphone"/>
    <n v="1920.55"/>
    <n v="6"/>
    <n v="2254.59"/>
    <s v="Credit Card"/>
    <n v="11523.3"/>
    <s v="Medium"/>
    <n v="19.57"/>
  </r>
  <r>
    <s v="CUST1027"/>
    <x v="2"/>
    <s v="India"/>
    <s v="West Bengal"/>
    <n v="9958467371"/>
    <x v="0"/>
    <s v="Dress"/>
    <n v="1086.4100000000001"/>
    <n v="7"/>
    <n v="2066.7600000000002"/>
    <s v="Credit Card"/>
    <n v="7604.8700000000008"/>
    <s v="Low"/>
    <n v="27.18"/>
  </r>
  <r>
    <s v="CUST1028"/>
    <x v="2"/>
    <s v="India"/>
    <s v="West Bengal"/>
    <n v="9485913642"/>
    <x v="1"/>
    <s v="Bookshelf"/>
    <n v="1181.07"/>
    <n v="13"/>
    <n v="3821.07"/>
    <s v="Cash"/>
    <n v="15353.91"/>
    <s v="Medium"/>
    <n v="24.89"/>
  </r>
  <r>
    <s v="CUST1029"/>
    <x v="2"/>
    <s v="India"/>
    <s v="Uttar Pradesh"/>
    <n v="9942727052"/>
    <x v="1"/>
    <s v="Cupboard"/>
    <n v="2521.1999999999998"/>
    <n v="8"/>
    <n v="6046.68"/>
    <s v="Credit Card"/>
    <n v="20169.599999999999"/>
    <s v="High"/>
    <n v="29.98"/>
  </r>
  <r>
    <s v="CUST1030"/>
    <x v="1"/>
    <s v="India"/>
    <s v="Gujarat"/>
    <n v="9164209990"/>
    <x v="0"/>
    <s v="Jeans"/>
    <n v="1741.71"/>
    <n v="15"/>
    <n v="4026.14"/>
    <s v="UPI"/>
    <n v="26125.65"/>
    <s v="High"/>
    <n v="15.41"/>
  </r>
  <r>
    <s v="CUST1031"/>
    <x v="1"/>
    <s v="India"/>
    <s v="Uttar Pradesh"/>
    <n v="9972130283"/>
    <x v="1"/>
    <s v="Sofa"/>
    <n v="1691.18"/>
    <n v="9"/>
    <n v="3286.83"/>
    <s v="Net Banking"/>
    <n v="15220.62"/>
    <s v="Medium"/>
    <n v="21.59"/>
  </r>
  <r>
    <s v="CUST1032"/>
    <x v="1"/>
    <s v="India"/>
    <s v="Uttar Pradesh"/>
    <n v="9305312346"/>
    <x v="0"/>
    <s v="Jacket"/>
    <n v="2430.4899999999998"/>
    <n v="1"/>
    <n v="538.34"/>
    <s v="Debit Card"/>
    <n v="2430.4899999999998"/>
    <s v="Low"/>
    <n v="22.15"/>
  </r>
  <r>
    <s v="CUST1033"/>
    <x v="0"/>
    <s v="India"/>
    <s v="Uttar Pradesh"/>
    <n v="9403336927"/>
    <x v="0"/>
    <s v="Dress"/>
    <n v="1937.5"/>
    <n v="10"/>
    <n v="2548.08"/>
    <s v="UPI"/>
    <n v="19375"/>
    <s v="Medium"/>
    <n v="13.15"/>
  </r>
  <r>
    <s v="CUST1034"/>
    <x v="3"/>
    <s v="India"/>
    <s v="Karnataka"/>
    <n v="9209432112"/>
    <x v="0"/>
    <s v="T-shirt"/>
    <n v="2848.61"/>
    <n v="15"/>
    <n v="6188.69"/>
    <s v="Debit Card"/>
    <n v="42729.15"/>
    <s v="High"/>
    <n v="14.48"/>
  </r>
  <r>
    <s v="CUST1035"/>
    <x v="3"/>
    <s v="India"/>
    <s v="Maharashtra"/>
    <n v="92886736565"/>
    <x v="1"/>
    <s v="Cupboard"/>
    <n v="537.01"/>
    <n v="15"/>
    <n v="848.33"/>
    <s v="Debit Card"/>
    <n v="8055.15"/>
    <s v="Low"/>
    <n v="10.53"/>
  </r>
  <r>
    <s v="CUST1036"/>
    <x v="2"/>
    <s v="India"/>
    <s v="Karnataka"/>
    <n v="9696039067"/>
    <x v="1"/>
    <s v="Sofa"/>
    <n v="2052.79"/>
    <n v="1"/>
    <n v="296.79000000000002"/>
    <s v="Net Banking"/>
    <n v="2052.79"/>
    <s v="Low"/>
    <n v="14.46"/>
  </r>
  <r>
    <s v="CUST1037"/>
    <x v="2"/>
    <s v="India"/>
    <s v="Maharashtra"/>
    <n v="9729755086"/>
    <x v="0"/>
    <s v="Jacket"/>
    <n v="1708.1"/>
    <n v="3"/>
    <n v="897.22"/>
    <s v="Credit Card"/>
    <n v="5124.2999999999993"/>
    <s v="Low"/>
    <n v="17.510000000000002"/>
  </r>
  <r>
    <s v="CUST1038"/>
    <x v="2"/>
    <s v="India"/>
    <s v="Uttar Pradesh"/>
    <n v="9291717779"/>
    <x v="2"/>
    <s v="Headphones"/>
    <n v="1616.55"/>
    <n v="14"/>
    <n v="6621.29"/>
    <s v="Credit Card"/>
    <n v="22631.7"/>
    <s v="High"/>
    <n v="29.26"/>
  </r>
  <r>
    <s v="CUST1039"/>
    <x v="2"/>
    <s v="India"/>
    <s v="Karnataka"/>
    <n v="9596984707"/>
    <x v="0"/>
    <s v="Jeans"/>
    <n v="1774.62"/>
    <n v="7"/>
    <n v="3378.16"/>
    <s v="Credit Card"/>
    <n v="12422.34"/>
    <s v="Medium"/>
    <n v="27.19"/>
  </r>
  <r>
    <s v="CUST1040"/>
    <x v="1"/>
    <s v="India"/>
    <s v="Gujarat"/>
    <n v="9621477109"/>
    <x v="2"/>
    <s v="Smartphone"/>
    <n v="644.14"/>
    <n v="12"/>
    <n v="988.52"/>
    <s v="Cash"/>
    <n v="7729.68"/>
    <s v="Low"/>
    <n v="12.79"/>
  </r>
  <r>
    <s v="CUST1041"/>
    <x v="1"/>
    <s v="India"/>
    <s v="West Bengal"/>
    <n v="9813614929"/>
    <x v="1"/>
    <s v="Sofa"/>
    <n v="1767.47"/>
    <n v="13"/>
    <n v="3353.4"/>
    <s v="UPI"/>
    <n v="22977.11"/>
    <s v="High"/>
    <n v="14.59"/>
  </r>
  <r>
    <s v="CUST1042"/>
    <x v="2"/>
    <s v="India"/>
    <s v="Tamil Nadu"/>
    <n v="9314930259"/>
    <x v="0"/>
    <s v="Dress"/>
    <n v="2506.6"/>
    <n v="11"/>
    <n v="8011.16"/>
    <s v="UPI"/>
    <n v="27572.6"/>
    <s v="High"/>
    <n v="29.05"/>
  </r>
  <r>
    <s v="CUST1043"/>
    <x v="0"/>
    <s v="India"/>
    <s v="West Bengal"/>
    <n v="93262535688"/>
    <x v="2"/>
    <s v="Tablet"/>
    <n v="727.87"/>
    <n v="2"/>
    <n v="385.93"/>
    <s v="Credit Card"/>
    <n v="1455.74"/>
    <s v="Low"/>
    <n v="26.51"/>
  </r>
  <r>
    <s v="CUST1044"/>
    <x v="0"/>
    <s v="India"/>
    <s v="Uttar Pradesh"/>
    <n v="9922473225"/>
    <x v="1"/>
    <s v="Sofa"/>
    <n v="2509.39"/>
    <n v="4"/>
    <n v="2607.48"/>
    <s v="Credit Card"/>
    <n v="10037.56"/>
    <s v="Medium"/>
    <n v="25.98"/>
  </r>
  <r>
    <s v="CUST1045"/>
    <x v="3"/>
    <s v="India"/>
    <s v="Rajasthan"/>
    <n v="9435049619"/>
    <x v="2"/>
    <s v="Monitor"/>
    <n v="254.27"/>
    <n v="5"/>
    <n v="247.89"/>
    <s v="Net Banking"/>
    <n v="1271.3500000000001"/>
    <s v="Low"/>
    <n v="19.5"/>
  </r>
  <r>
    <s v="CUST1046"/>
    <x v="2"/>
    <s v="India"/>
    <s v="Uttar Pradesh"/>
    <n v="9139717689"/>
    <x v="2"/>
    <s v="Tablet"/>
    <n v="1104.23"/>
    <n v="11"/>
    <n v="1883.37"/>
    <s v="Credit Card"/>
    <n v="12146.53"/>
    <s v="Medium"/>
    <n v="15.51"/>
  </r>
  <r>
    <s v="CUST1047"/>
    <x v="1"/>
    <s v="India"/>
    <s v="West Bengal"/>
    <n v="9873282041"/>
    <x v="2"/>
    <s v="Laptop"/>
    <n v="861.53"/>
    <n v="3"/>
    <n v="482.01"/>
    <s v="Debit Card"/>
    <n v="2584.59"/>
    <s v="Low"/>
    <n v="18.649999999999999"/>
  </r>
  <r>
    <s v="CUST1048"/>
    <x v="3"/>
    <s v="India"/>
    <s v="West Bengal"/>
    <n v="9520705759"/>
    <x v="0"/>
    <s v="T-shirt"/>
    <n v="940.76"/>
    <n v="4"/>
    <n v="842.47"/>
    <s v="Debit Card"/>
    <n v="3763.04"/>
    <s v="Low"/>
    <n v="22.39"/>
  </r>
  <r>
    <s v="CUST1049"/>
    <x v="2"/>
    <s v="India"/>
    <s v="West Bengal"/>
    <n v="9648648568"/>
    <x v="0"/>
    <s v="T-shirt"/>
    <n v="1505.5"/>
    <n v="11"/>
    <n v="3985.19"/>
    <s v="Debit Card"/>
    <n v="16560.5"/>
    <s v="Medium"/>
    <n v="24.06"/>
  </r>
  <r>
    <s v="CUST1050"/>
    <x v="0"/>
    <s v="India"/>
    <s v="Uttar Pradesh"/>
    <n v="9416435713"/>
    <x v="0"/>
    <s v="Jeans"/>
    <n v="1477.49"/>
    <n v="11"/>
    <n v="2428.98"/>
    <s v="Credit Card"/>
    <n v="16252.39"/>
    <s v="Medium"/>
    <n v="14.95"/>
  </r>
  <r>
    <s v="CUST1051"/>
    <x v="2"/>
    <s v="India"/>
    <s v="Rajasthan"/>
    <n v="9211381294"/>
    <x v="1"/>
    <s v="Chair"/>
    <n v="704.64"/>
    <n v="2"/>
    <n v="163.57"/>
    <s v="UPI"/>
    <n v="1409.28"/>
    <s v="Low"/>
    <n v="11.61"/>
  </r>
  <r>
    <s v="CUST1052"/>
    <x v="3"/>
    <s v="India"/>
    <s v="West Bengal"/>
    <n v="9791244114"/>
    <x v="1"/>
    <s v="Cupboard"/>
    <n v="2030.2"/>
    <n v="13"/>
    <n v="3695.03"/>
    <s v="Net Banking"/>
    <n v="26392.600000000002"/>
    <s v="High"/>
    <n v="14"/>
  </r>
  <r>
    <s v="CUST1053"/>
    <x v="0"/>
    <s v="India"/>
    <s v="Rajasthan"/>
    <n v="9194670146"/>
    <x v="0"/>
    <s v="Shirt"/>
    <n v="1822.28"/>
    <n v="4"/>
    <n v="1973.2"/>
    <s v="Cash"/>
    <n v="7289.12"/>
    <s v="Low"/>
    <n v="27.07"/>
  </r>
  <r>
    <s v="CUST1054"/>
    <x v="3"/>
    <s v="India"/>
    <s v="Maharashtra"/>
    <n v="9519275644"/>
    <x v="1"/>
    <s v="Sofa"/>
    <n v="600.17999999999995"/>
    <n v="11"/>
    <n v="1525.57"/>
    <s v="Credit Card"/>
    <n v="6601.98"/>
    <s v="Low"/>
    <n v="23.11"/>
  </r>
  <r>
    <s v="CUST1055"/>
    <x v="1"/>
    <s v="India"/>
    <s v="Maharashtra"/>
    <n v="9520013561"/>
    <x v="0"/>
    <s v="T-shirt"/>
    <n v="2330.36"/>
    <n v="7"/>
    <n v="3532.26"/>
    <s v="Debit Card"/>
    <n v="16312.52"/>
    <s v="Medium"/>
    <n v="21.65"/>
  </r>
  <r>
    <s v="CUST1056"/>
    <x v="3"/>
    <s v="India"/>
    <s v="Gujarat"/>
    <n v="95989895092"/>
    <x v="2"/>
    <s v="Headphones"/>
    <n v="1084.67"/>
    <n v="13"/>
    <n v="4140.1400000000003"/>
    <s v="Cash"/>
    <n v="14100.710000000001"/>
    <s v="Medium"/>
    <n v="29.36"/>
  </r>
  <r>
    <s v="CUST1057"/>
    <x v="2"/>
    <s v="India"/>
    <s v="Uttar Pradesh"/>
    <n v="9499862542"/>
    <x v="1"/>
    <s v="Cupboard"/>
    <n v="1893.55"/>
    <n v="12"/>
    <n v="3204.64"/>
    <s v="Net Banking"/>
    <n v="22722.6"/>
    <s v="High"/>
    <n v="14.1"/>
  </r>
  <r>
    <s v="CUST1058"/>
    <x v="3"/>
    <s v="India"/>
    <s v="Gujarat"/>
    <n v="9724136290"/>
    <x v="1"/>
    <s v="Chair"/>
    <n v="1747.22"/>
    <n v="6"/>
    <n v="2678.22"/>
    <s v="Cash"/>
    <n v="10483.32"/>
    <s v="Medium"/>
    <n v="25.55"/>
  </r>
  <r>
    <s v="CUST1059"/>
    <x v="2"/>
    <s v="India"/>
    <s v="Gujarat"/>
    <n v="9321909198"/>
    <x v="1"/>
    <s v="Bookshelf"/>
    <n v="287.31"/>
    <n v="8"/>
    <n v="381.56"/>
    <s v="Debit Card"/>
    <n v="2298.48"/>
    <s v="Low"/>
    <n v="16.600000000000001"/>
  </r>
  <r>
    <s v="CUST1060"/>
    <x v="3"/>
    <s v="India"/>
    <s v="Maharashtra"/>
    <n v="9760693305"/>
    <x v="0"/>
    <s v="Shirt"/>
    <n v="1700.05"/>
    <n v="2"/>
    <n v="383.92"/>
    <s v="UPI"/>
    <n v="3400.1"/>
    <s v="Low"/>
    <n v="11.29"/>
  </r>
  <r>
    <s v="CUST1061"/>
    <x v="2"/>
    <s v="India"/>
    <s v="Gujarat"/>
    <n v="9658575570"/>
    <x v="1"/>
    <s v="Bookshelf"/>
    <n v="1180.31"/>
    <n v="7"/>
    <n v="847.73"/>
    <s v="UPI"/>
    <n v="8262.17"/>
    <s v="Low"/>
    <n v="10.26"/>
  </r>
  <r>
    <s v="CUST1062"/>
    <x v="1"/>
    <s v="India"/>
    <s v="Gujarat"/>
    <n v="9950273824"/>
    <x v="1"/>
    <s v="Cupboard"/>
    <n v="653.35"/>
    <n v="4"/>
    <n v="345.46"/>
    <s v="Credit Card"/>
    <n v="2613.4"/>
    <s v="Low"/>
    <n v="13.22"/>
  </r>
  <r>
    <s v="CUST1063"/>
    <x v="1"/>
    <s v="India"/>
    <s v="Tamil Nadu"/>
    <n v="9898816813"/>
    <x v="2"/>
    <s v="Laptop"/>
    <n v="1881.74"/>
    <n v="4"/>
    <n v="1363.83"/>
    <s v="Debit Card"/>
    <n v="7526.96"/>
    <s v="Low"/>
    <n v="18.12"/>
  </r>
  <r>
    <s v="CUST1064"/>
    <x v="3"/>
    <s v="India"/>
    <s v="Rajasthan"/>
    <n v="9571594565"/>
    <x v="1"/>
    <s v="Table"/>
    <n v="1206.3499999999999"/>
    <n v="15"/>
    <n v="2801.82"/>
    <s v="UPI"/>
    <n v="18095.25"/>
    <s v="Medium"/>
    <n v="15.48"/>
  </r>
  <r>
    <s v="CUST1065"/>
    <x v="1"/>
    <s v="India"/>
    <s v="Maharashtra"/>
    <n v="9684352160"/>
    <x v="0"/>
    <s v="Jacket"/>
    <n v="1849.95"/>
    <n v="5"/>
    <n v="2111.02"/>
    <s v="Debit Card"/>
    <n v="9249.75"/>
    <s v="Low"/>
    <n v="22.82"/>
  </r>
  <r>
    <s v="CUST1066"/>
    <x v="0"/>
    <s v="India"/>
    <s v="West Bengal"/>
    <n v="9845713875"/>
    <x v="2"/>
    <s v="Tablet"/>
    <n v="1896.1"/>
    <n v="5"/>
    <n v="2676.46"/>
    <s v="Debit Card"/>
    <n v="9480.5"/>
    <s v="Low"/>
    <n v="28.23"/>
  </r>
  <r>
    <s v="CUST1067"/>
    <x v="1"/>
    <s v="India"/>
    <s v="Tamil Nadu"/>
    <n v="85"/>
    <x v="1"/>
    <s v="Bookshelf"/>
    <n v="1799.6"/>
    <n v="6"/>
    <n v="1551.79"/>
    <s v="Cash"/>
    <n v="10797.599999999999"/>
    <s v="Medium"/>
    <n v="14.37"/>
  </r>
  <r>
    <s v="CUST1068"/>
    <x v="3"/>
    <s v="India"/>
    <s v="Karnataka"/>
    <n v="9304184751"/>
    <x v="1"/>
    <s v="Cupboard"/>
    <n v="1330.26"/>
    <n v="2"/>
    <n v="669.54"/>
    <s v="Credit Card"/>
    <n v="2660.52"/>
    <s v="Low"/>
    <n v="25.17"/>
  </r>
  <r>
    <s v="CUST1069"/>
    <x v="3"/>
    <s v="India"/>
    <s v="Rajasthan"/>
    <n v="9141039856"/>
    <x v="2"/>
    <s v="Smartphone"/>
    <n v="322.57"/>
    <n v="13"/>
    <n v="684.45"/>
    <s v="Debit Card"/>
    <n v="4193.41"/>
    <s v="Low"/>
    <n v="16.32"/>
  </r>
  <r>
    <s v="CUST1070"/>
    <x v="2"/>
    <s v="India"/>
    <s v="Tamil Nadu"/>
    <n v="9640589740"/>
    <x v="2"/>
    <s v="Tablet"/>
    <n v="1510.41"/>
    <n v="1"/>
    <n v="434.79"/>
    <s v="Net Banking"/>
    <n v="1510.41"/>
    <s v="Low"/>
    <n v="28.79"/>
  </r>
  <r>
    <s v="CUST1071"/>
    <x v="1"/>
    <s v="India"/>
    <s v="Karnataka"/>
    <n v="9406517796"/>
    <x v="0"/>
    <s v="Dress"/>
    <n v="1085.52"/>
    <n v="4"/>
    <n v="749.57"/>
    <s v="Credit Card"/>
    <n v="4342.08"/>
    <s v="Low"/>
    <n v="17.260000000000002"/>
  </r>
  <r>
    <s v="CUST1072"/>
    <x v="1"/>
    <s v="India"/>
    <s v="Maharashtra"/>
    <n v="9606169051"/>
    <x v="1"/>
    <s v="Table"/>
    <n v="1441.79"/>
    <n v="14"/>
    <n v="3929.03"/>
    <s v="Debit Card"/>
    <n v="20185.059999999998"/>
    <s v="High"/>
    <n v="19.47"/>
  </r>
  <r>
    <s v="CUST1073"/>
    <x v="3"/>
    <s v="India"/>
    <s v="Rajasthan"/>
    <n v="9350461925"/>
    <x v="1"/>
    <s v="Cupboard"/>
    <n v="686.64"/>
    <n v="8"/>
    <n v="878.07"/>
    <s v="Credit Card"/>
    <n v="5493.12"/>
    <s v="Low"/>
    <n v="15.98"/>
  </r>
  <r>
    <s v="CUST1074"/>
    <x v="0"/>
    <s v="India"/>
    <s v="West Bengal"/>
    <n v="9996467468"/>
    <x v="0"/>
    <s v="Dress"/>
    <n v="2830.64"/>
    <n v="6"/>
    <n v="1830.75"/>
    <s v="Credit Card"/>
    <n v="16983.84"/>
    <s v="Medium"/>
    <n v="10.78"/>
  </r>
  <r>
    <s v="CUST1075"/>
    <x v="0"/>
    <s v="India"/>
    <s v="Rajasthan"/>
    <n v="9128345710"/>
    <x v="2"/>
    <s v="Headphones"/>
    <n v="2619.08"/>
    <n v="6"/>
    <n v="4245.2299999999996"/>
    <s v="Net Banking"/>
    <n v="15714.48"/>
    <s v="Medium"/>
    <n v="27.01"/>
  </r>
  <r>
    <s v="CUST1076"/>
    <x v="2"/>
    <s v="India"/>
    <s v="Gujarat"/>
    <n v="9392055351"/>
    <x v="0"/>
    <s v="Jeans"/>
    <n v="503.93"/>
    <n v="11"/>
    <n v="1183.48"/>
    <s v="Cash"/>
    <n v="5543.2300000000005"/>
    <s v="Low"/>
    <n v="21.35"/>
  </r>
  <r>
    <s v="CUST1077"/>
    <x v="1"/>
    <s v="India"/>
    <s v="Tamil Nadu"/>
    <n v="9980141994"/>
    <x v="1"/>
    <s v="Bookshelf"/>
    <n v="467.71"/>
    <n v="12"/>
    <n v="1223.23"/>
    <s v="Credit Card"/>
    <n v="5612.5199999999995"/>
    <s v="Low"/>
    <n v="21.79"/>
  </r>
  <r>
    <s v="CUST1078"/>
    <x v="0"/>
    <s v="India"/>
    <s v="Maharashtra"/>
    <n v="9403999543"/>
    <x v="1"/>
    <s v="Chair"/>
    <n v="2307.34"/>
    <n v="14"/>
    <n v="3571.15"/>
    <s v="Debit Card"/>
    <n v="32302.760000000002"/>
    <s v="High"/>
    <n v="11.06"/>
  </r>
  <r>
    <s v="CUST1079"/>
    <x v="3"/>
    <s v="India"/>
    <s v="Uttar Pradesh"/>
    <n v="9164427200"/>
    <x v="2"/>
    <s v="Tablet"/>
    <n v="1513.57"/>
    <n v="14"/>
    <n v="5761.18"/>
    <s v="Credit Card"/>
    <n v="21189.98"/>
    <s v="High"/>
    <n v="27.19"/>
  </r>
  <r>
    <s v="CUST1080"/>
    <x v="3"/>
    <s v="India"/>
    <s v="Maharashtra"/>
    <n v="858947"/>
    <x v="1"/>
    <s v="Cupboard"/>
    <n v="2213.4499999999998"/>
    <n v="3"/>
    <n v="867.33"/>
    <s v="Debit Card"/>
    <n v="6640.3499999999995"/>
    <s v="Low"/>
    <n v="13.06"/>
  </r>
  <r>
    <s v="CUST1081"/>
    <x v="1"/>
    <s v="India"/>
    <s v="Tamil Nadu"/>
    <n v="9789825611"/>
    <x v="0"/>
    <s v="Dress"/>
    <n v="384.21"/>
    <n v="5"/>
    <n v="354.16"/>
    <s v="Debit Card"/>
    <n v="1921.05"/>
    <s v="Low"/>
    <n v="18.440000000000001"/>
  </r>
  <r>
    <s v="CUST1082"/>
    <x v="2"/>
    <s v="India"/>
    <s v="Maharashtra"/>
    <n v="9371462183"/>
    <x v="2"/>
    <s v="Headphones"/>
    <n v="498.41"/>
    <n v="7"/>
    <n v="435.36"/>
    <s v="UPI"/>
    <n v="3488.8700000000003"/>
    <s v="Low"/>
    <n v="12.48"/>
  </r>
  <r>
    <s v="CUST1083"/>
    <x v="3"/>
    <s v="India"/>
    <s v="Maharashtra"/>
    <n v="9444893207"/>
    <x v="0"/>
    <s v="Dress"/>
    <n v="1599.24"/>
    <n v="10"/>
    <n v="4368.75"/>
    <s v="UPI"/>
    <n v="15992.4"/>
    <s v="Medium"/>
    <n v="27.32"/>
  </r>
  <r>
    <s v="CUST1084"/>
    <x v="0"/>
    <s v="India"/>
    <s v="Rajasthan"/>
    <n v="9339358166"/>
    <x v="1"/>
    <s v="Sofa"/>
    <n v="962.07"/>
    <n v="9"/>
    <n v="905.89"/>
    <s v="UPI"/>
    <n v="8658.630000000001"/>
    <s v="Low"/>
    <n v="10.46"/>
  </r>
  <r>
    <s v="CUST1085"/>
    <x v="0"/>
    <s v="India"/>
    <s v="West Bengal"/>
    <n v="9119201960"/>
    <x v="1"/>
    <s v="Bookshelf"/>
    <n v="1673.22"/>
    <n v="7"/>
    <n v="1935.04"/>
    <s v="Debit Card"/>
    <n v="11712.54"/>
    <s v="Medium"/>
    <n v="16.52"/>
  </r>
  <r>
    <s v="CUST1086"/>
    <x v="0"/>
    <s v="India"/>
    <s v="Tamil Nadu"/>
    <n v="9161700373"/>
    <x v="0"/>
    <s v="T-shirt"/>
    <n v="791.24"/>
    <n v="4"/>
    <n v="366.17"/>
    <s v="UPI"/>
    <n v="3164.96"/>
    <s v="Low"/>
    <n v="11.57"/>
  </r>
  <r>
    <s v="CUST1087"/>
    <x v="1"/>
    <s v="India"/>
    <s v="Uttar Pradesh"/>
    <n v="9242580997"/>
    <x v="0"/>
    <s v="Jeans"/>
    <n v="1210.8599999999999"/>
    <n v="3"/>
    <n v="698.75"/>
    <s v="UPI"/>
    <n v="3632.58"/>
    <s v="Low"/>
    <n v="19.239999999999998"/>
  </r>
  <r>
    <s v="CUST1088"/>
    <x v="3"/>
    <s v="India"/>
    <s v="Gujarat"/>
    <n v="9370714466"/>
    <x v="0"/>
    <s v="T-shirt"/>
    <n v="619.57000000000005"/>
    <n v="7"/>
    <n v="562.75"/>
    <s v="UPI"/>
    <n v="4336.9900000000007"/>
    <s v="Low"/>
    <n v="12.98"/>
  </r>
  <r>
    <s v="CUST1089"/>
    <x v="0"/>
    <s v="India"/>
    <s v="Maharashtra"/>
    <n v="9427647839"/>
    <x v="2"/>
    <s v="Monitor"/>
    <n v="308.5"/>
    <n v="15"/>
    <n v="802.96"/>
    <s v="Credit Card"/>
    <n v="4627.5"/>
    <s v="Low"/>
    <n v="17.350000000000001"/>
  </r>
  <r>
    <s v="CUST1090"/>
    <x v="2"/>
    <s v="India"/>
    <s v="Maharashtra"/>
    <n v="9942075195"/>
    <x v="0"/>
    <s v="Dress"/>
    <n v="1853.37"/>
    <n v="5"/>
    <n v="1661.2"/>
    <s v="Credit Card"/>
    <n v="9266.8499999999985"/>
    <s v="Low"/>
    <n v="17.93"/>
  </r>
  <r>
    <s v="CUST1091"/>
    <x v="1"/>
    <s v="India"/>
    <s v="Rajasthan"/>
    <n v="9857569233"/>
    <x v="0"/>
    <s v="Jacket"/>
    <n v="2501.48"/>
    <n v="6"/>
    <n v="4142.5200000000004"/>
    <s v="Net Banking"/>
    <n v="15008.880000000001"/>
    <s v="Medium"/>
    <n v="27.6"/>
  </r>
  <r>
    <s v="CUST1092"/>
    <x v="1"/>
    <s v="India"/>
    <s v="Karnataka"/>
    <n v="9944969047"/>
    <x v="2"/>
    <s v="Laptop"/>
    <n v="2596.13"/>
    <n v="5"/>
    <n v="1453.33"/>
    <s v="Net Banking"/>
    <n v="12980.650000000001"/>
    <s v="Medium"/>
    <n v="11.2"/>
  </r>
  <r>
    <s v="CUST1093"/>
    <x v="0"/>
    <s v="India"/>
    <s v="West Bengal"/>
    <n v="56428436"/>
    <x v="2"/>
    <s v="Headphones"/>
    <n v="2209.52"/>
    <n v="6"/>
    <n v="3760.49"/>
    <s v="Net Banking"/>
    <n v="13257.119999999999"/>
    <s v="Medium"/>
    <n v="28.37"/>
  </r>
  <r>
    <s v="CUST1094"/>
    <x v="2"/>
    <s v="India"/>
    <s v="Gujarat"/>
    <n v="9705241364"/>
    <x v="1"/>
    <s v="Sofa"/>
    <n v="458.7"/>
    <n v="7"/>
    <n v="839.97"/>
    <s v="Net Banking"/>
    <n v="3210.9"/>
    <s v="Low"/>
    <n v="26.16"/>
  </r>
  <r>
    <s v="CUST1095"/>
    <x v="2"/>
    <s v="India"/>
    <s v="Karnataka"/>
    <n v="9245776255"/>
    <x v="0"/>
    <s v="Jeans"/>
    <n v="833.16"/>
    <n v="12"/>
    <n v="2135.63"/>
    <s v="Net Banking"/>
    <n v="9997.92"/>
    <s v="Low"/>
    <n v="21.36"/>
  </r>
  <r>
    <s v="CUST1096"/>
    <x v="2"/>
    <s v="India"/>
    <s v="Uttar Pradesh"/>
    <n v="9881212856"/>
    <x v="0"/>
    <s v="Jeans"/>
    <n v="238.37"/>
    <n v="13"/>
    <n v="586.94000000000005"/>
    <s v="Net Banking"/>
    <n v="3098.81"/>
    <s v="Low"/>
    <n v="18.940000000000001"/>
  </r>
  <r>
    <s v="CUST1097"/>
    <x v="0"/>
    <s v="India"/>
    <s v="Gujarat"/>
    <n v="9916091858"/>
    <x v="0"/>
    <s v="Dress"/>
    <n v="820.05"/>
    <n v="3"/>
    <n v="419.41"/>
    <s v="UPI"/>
    <n v="2460.1499999999996"/>
    <s v="Low"/>
    <n v="17.05"/>
  </r>
  <r>
    <s v="CUST1098"/>
    <x v="3"/>
    <s v="India"/>
    <s v="Karnataka"/>
    <n v="9425191872"/>
    <x v="2"/>
    <s v="Headphones"/>
    <n v="2716.33"/>
    <n v="8"/>
    <n v="5513.14"/>
    <s v="Net Banking"/>
    <n v="21730.639999999999"/>
    <s v="High"/>
    <n v="25.37"/>
  </r>
  <r>
    <s v="CUST1099"/>
    <x v="3"/>
    <s v="India"/>
    <s v="Uttar Pradesh"/>
    <n v="9459337548"/>
    <x v="0"/>
    <s v="Jacket"/>
    <n v="1918.81"/>
    <n v="1"/>
    <n v="442.75"/>
    <s v="Cash"/>
    <n v="1918.81"/>
    <s v="Low"/>
    <n v="23.0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EF66715-7293-4A62-9099-ECCAD08CB3BF}" name="PivotTable3"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P16:Q20" firstHeaderRow="1" firstDataRow="1" firstDataCol="1"/>
  <pivotFields count="14">
    <pivotField showAll="0"/>
    <pivotField showAll="0"/>
    <pivotField showAll="0"/>
    <pivotField showAll="0"/>
    <pivotField showAll="0"/>
    <pivotField axis="axisRow" showAll="0">
      <items count="4">
        <item x="0"/>
        <item x="2"/>
        <item x="1"/>
        <item t="default"/>
      </items>
    </pivotField>
    <pivotField showAll="0"/>
    <pivotField showAll="0"/>
    <pivotField dataField="1" showAll="0"/>
    <pivotField showAll="0"/>
    <pivotField showAll="0"/>
    <pivotField showAll="0"/>
    <pivotField showAll="0"/>
    <pivotField showAll="0"/>
  </pivotFields>
  <rowFields count="1">
    <field x="5"/>
  </rowFields>
  <rowItems count="4">
    <i>
      <x/>
    </i>
    <i>
      <x v="1"/>
    </i>
    <i>
      <x v="2"/>
    </i>
    <i t="grand">
      <x/>
    </i>
  </rowItems>
  <colItems count="1">
    <i/>
  </colItems>
  <dataFields count="1">
    <dataField name="Average of Units Sold" fld="8" subtotal="average" baseField="5"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1F80548-A1FA-4D3E-A9B3-A10A35AF7DFA}" name="PivotTable2"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P8:R13" firstHeaderRow="0" firstDataRow="1" firstDataCol="1"/>
  <pivotFields count="14">
    <pivotField showAll="0"/>
    <pivotField axis="axisRow" showAll="0">
      <items count="5">
        <item x="2"/>
        <item x="3"/>
        <item x="1"/>
        <item x="0"/>
        <item t="default"/>
      </items>
    </pivotField>
    <pivotField showAll="0"/>
    <pivotField showAll="0"/>
    <pivotField showAll="0"/>
    <pivotField showAll="0"/>
    <pivotField showAll="0"/>
    <pivotField showAll="0"/>
    <pivotField showAll="0"/>
    <pivotField dataField="1" showAll="0"/>
    <pivotField showAll="0"/>
    <pivotField dataField="1" showAll="0"/>
    <pivotField showAll="0"/>
    <pivotField showAll="0"/>
  </pivotFields>
  <rowFields count="1">
    <field x="1"/>
  </rowFields>
  <rowItems count="5">
    <i>
      <x/>
    </i>
    <i>
      <x v="1"/>
    </i>
    <i>
      <x v="2"/>
    </i>
    <i>
      <x v="3"/>
    </i>
    <i t="grand">
      <x/>
    </i>
  </rowItems>
  <colFields count="1">
    <field x="-2"/>
  </colFields>
  <colItems count="2">
    <i>
      <x/>
    </i>
    <i i="1">
      <x v="1"/>
    </i>
  </colItems>
  <dataFields count="2">
    <dataField name="Sum of Profit" fld="9" baseField="0" baseItem="0"/>
    <dataField name="Sum of Revenue"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F6F5646-B585-473D-B767-54EB942EEEF9}"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B12" firstHeaderRow="1" firstDataRow="1" firstDataCol="1"/>
  <pivotFields count="12">
    <pivotField dataField="1" showAll="0"/>
    <pivotField numFmtId="164" showAll="0">
      <items count="82">
        <item x="0"/>
        <item x="32"/>
        <item x="73"/>
        <item x="2"/>
        <item x="10"/>
        <item x="37"/>
        <item x="56"/>
        <item x="9"/>
        <item x="70"/>
        <item x="45"/>
        <item x="78"/>
        <item x="34"/>
        <item x="18"/>
        <item x="69"/>
        <item x="66"/>
        <item x="19"/>
        <item x="64"/>
        <item x="62"/>
        <item x="55"/>
        <item x="6"/>
        <item x="77"/>
        <item x="46"/>
        <item x="21"/>
        <item x="29"/>
        <item x="4"/>
        <item x="59"/>
        <item x="26"/>
        <item x="15"/>
        <item x="52"/>
        <item x="16"/>
        <item x="54"/>
        <item x="36"/>
        <item x="49"/>
        <item x="7"/>
        <item x="39"/>
        <item x="40"/>
        <item x="72"/>
        <item x="48"/>
        <item x="65"/>
        <item x="13"/>
        <item x="1"/>
        <item x="63"/>
        <item x="44"/>
        <item x="12"/>
        <item x="24"/>
        <item x="75"/>
        <item x="79"/>
        <item x="27"/>
        <item x="5"/>
        <item x="42"/>
        <item x="31"/>
        <item x="67"/>
        <item x="35"/>
        <item x="38"/>
        <item x="41"/>
        <item x="25"/>
        <item x="51"/>
        <item x="68"/>
        <item x="8"/>
        <item x="50"/>
        <item x="57"/>
        <item x="14"/>
        <item x="47"/>
        <item x="33"/>
        <item x="61"/>
        <item x="23"/>
        <item x="3"/>
        <item x="22"/>
        <item x="58"/>
        <item x="20"/>
        <item x="28"/>
        <item x="53"/>
        <item x="76"/>
        <item x="71"/>
        <item x="74"/>
        <item x="60"/>
        <item x="80"/>
        <item x="43"/>
        <item x="30"/>
        <item x="11"/>
        <item x="17"/>
        <item t="default"/>
      </items>
    </pivotField>
    <pivotField axis="axisRow" showAll="0">
      <items count="9">
        <item x="5"/>
        <item x="3"/>
        <item x="6"/>
        <item x="4"/>
        <item x="0"/>
        <item x="7"/>
        <item x="1"/>
        <item x="2"/>
        <item t="default"/>
      </items>
    </pivotField>
    <pivotField showAll="0">
      <items count="6">
        <item x="2"/>
        <item x="1"/>
        <item x="3"/>
        <item x="0"/>
        <item x="4"/>
        <item t="default"/>
      </items>
    </pivotField>
    <pivotField showAll="0"/>
    <pivotField showAll="0"/>
    <pivotField showAll="0">
      <items count="5">
        <item x="1"/>
        <item x="0"/>
        <item x="2"/>
        <item x="3"/>
        <item t="default"/>
      </items>
    </pivotField>
    <pivotField showAll="0">
      <items count="5">
        <item x="1"/>
        <item x="2"/>
        <item x="0"/>
        <item x="3"/>
        <item t="default"/>
      </items>
    </pivotField>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x="1"/>
        <item sd="0" x="2"/>
        <item sd="0" x="3"/>
        <item sd="0" x="4"/>
        <item sd="0" x="5"/>
        <item sd="0" x="6"/>
        <item sd="0" x="7"/>
        <item sd="0" x="8"/>
        <item sd="0" x="9"/>
        <item sd="0" x="10"/>
        <item sd="0" x="11"/>
        <item sd="0" x="12"/>
        <item sd="0" x="13"/>
        <item t="default"/>
      </items>
    </pivotField>
  </pivotFields>
  <rowFields count="1">
    <field x="2"/>
  </rowFields>
  <rowItems count="9">
    <i>
      <x/>
    </i>
    <i>
      <x v="1"/>
    </i>
    <i>
      <x v="2"/>
    </i>
    <i>
      <x v="3"/>
    </i>
    <i>
      <x v="4"/>
    </i>
    <i>
      <x v="5"/>
    </i>
    <i>
      <x v="6"/>
    </i>
    <i>
      <x v="7"/>
    </i>
    <i t="grand">
      <x/>
    </i>
  </rowItems>
  <colItems count="1">
    <i/>
  </colItems>
  <dataFields count="1">
    <dataField name="Total Accidents" fld="0" subtotal="count" baseField="2" baseItem="0"/>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B776F03-61B9-4BD2-B90A-DD7D60BE5202}"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A3:B8" firstHeaderRow="1" firstDataRow="1" firstDataCol="1"/>
  <pivotFields count="10">
    <pivotField dataField="1" showAll="0">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numFmtId="164" showAll="0">
      <items count="82">
        <item x="0"/>
        <item x="32"/>
        <item x="73"/>
        <item x="2"/>
        <item x="10"/>
        <item x="37"/>
        <item x="56"/>
        <item x="9"/>
        <item x="70"/>
        <item x="45"/>
        <item x="78"/>
        <item x="34"/>
        <item x="18"/>
        <item x="69"/>
        <item x="66"/>
        <item x="19"/>
        <item x="64"/>
        <item x="62"/>
        <item x="55"/>
        <item x="6"/>
        <item x="77"/>
        <item x="46"/>
        <item x="21"/>
        <item x="29"/>
        <item x="4"/>
        <item x="59"/>
        <item x="26"/>
        <item x="15"/>
        <item x="52"/>
        <item x="16"/>
        <item x="54"/>
        <item x="36"/>
        <item x="49"/>
        <item x="7"/>
        <item x="39"/>
        <item x="40"/>
        <item x="72"/>
        <item x="48"/>
        <item x="65"/>
        <item x="13"/>
        <item x="1"/>
        <item x="63"/>
        <item x="44"/>
        <item x="12"/>
        <item x="24"/>
        <item x="75"/>
        <item x="79"/>
        <item x="27"/>
        <item x="5"/>
        <item x="42"/>
        <item x="31"/>
        <item x="67"/>
        <item x="35"/>
        <item x="38"/>
        <item x="41"/>
        <item x="25"/>
        <item x="51"/>
        <item x="68"/>
        <item x="8"/>
        <item x="50"/>
        <item x="57"/>
        <item x="14"/>
        <item x="47"/>
        <item x="33"/>
        <item x="61"/>
        <item x="23"/>
        <item x="3"/>
        <item x="22"/>
        <item x="58"/>
        <item x="20"/>
        <item x="28"/>
        <item x="53"/>
        <item x="76"/>
        <item x="71"/>
        <item x="74"/>
        <item x="60"/>
        <item x="80"/>
        <item x="43"/>
        <item x="30"/>
        <item x="11"/>
        <item x="17"/>
        <item t="default"/>
      </items>
    </pivotField>
    <pivotField showAll="0">
      <items count="9">
        <item x="5"/>
        <item x="3"/>
        <item x="6"/>
        <item x="4"/>
        <item x="0"/>
        <item x="7"/>
        <item x="1"/>
        <item x="2"/>
        <item t="default"/>
      </items>
    </pivotField>
    <pivotField showAll="0"/>
    <pivotField showAll="0"/>
    <pivotField showAll="0"/>
    <pivotField showAll="0">
      <items count="5">
        <item x="1"/>
        <item x="0"/>
        <item x="2"/>
        <item x="3"/>
        <item t="default"/>
      </items>
    </pivotField>
    <pivotField axis="axisRow" showAll="0">
      <items count="5">
        <item x="1"/>
        <item x="2"/>
        <item x="0"/>
        <item x="3"/>
        <item t="default"/>
      </items>
    </pivotField>
    <pivotField showAll="0">
      <items count="7">
        <item x="2"/>
        <item x="1"/>
        <item x="4"/>
        <item x="0"/>
        <item x="5"/>
        <item x="3"/>
        <item t="default"/>
      </items>
    </pivotField>
    <pivotField showAll="0"/>
  </pivotFields>
  <rowFields count="1">
    <field x="7"/>
  </rowFields>
  <rowItems count="5">
    <i>
      <x/>
    </i>
    <i>
      <x v="1"/>
    </i>
    <i>
      <x v="2"/>
    </i>
    <i>
      <x v="3"/>
    </i>
    <i t="grand">
      <x/>
    </i>
  </rowItems>
  <colItems count="1">
    <i/>
  </colItems>
  <dataFields count="1">
    <dataField name="Count of Accident ID" fld="0" subtotal="count" baseField="0" baseItem="0"/>
  </dataFields>
  <chartFormats count="15">
    <chartFormat chart="0" format="0" series="1">
      <pivotArea type="data" outline="0" fieldPosition="0">
        <references count="1">
          <reference field="4294967294" count="1" selected="0">
            <x v="0"/>
          </reference>
        </references>
      </pivotArea>
    </chartFormat>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7" count="1" selected="0">
            <x v="0"/>
          </reference>
        </references>
      </pivotArea>
    </chartFormat>
    <chartFormat chart="3" format="8">
      <pivotArea type="data" outline="0" fieldPosition="0">
        <references count="2">
          <reference field="4294967294" count="1" selected="0">
            <x v="0"/>
          </reference>
          <reference field="7" count="1" selected="0">
            <x v="1"/>
          </reference>
        </references>
      </pivotArea>
    </chartFormat>
    <chartFormat chart="3" format="9">
      <pivotArea type="data" outline="0" fieldPosition="0">
        <references count="2">
          <reference field="4294967294" count="1" selected="0">
            <x v="0"/>
          </reference>
          <reference field="7" count="1" selected="0">
            <x v="2"/>
          </reference>
        </references>
      </pivotArea>
    </chartFormat>
    <chartFormat chart="3" format="10">
      <pivotArea type="data" outline="0" fieldPosition="0">
        <references count="2">
          <reference field="4294967294" count="1" selected="0">
            <x v="0"/>
          </reference>
          <reference field="7" count="1" selected="0">
            <x v="3"/>
          </reference>
        </references>
      </pivotArea>
    </chartFormat>
    <chartFormat chart="11" format="6" series="1">
      <pivotArea type="data" outline="0" fieldPosition="0">
        <references count="1">
          <reference field="4294967294" count="1" selected="0">
            <x v="0"/>
          </reference>
        </references>
      </pivotArea>
    </chartFormat>
    <chartFormat chart="11" format="7">
      <pivotArea type="data" outline="0" fieldPosition="0">
        <references count="2">
          <reference field="4294967294" count="1" selected="0">
            <x v="0"/>
          </reference>
          <reference field="7" count="1" selected="0">
            <x v="0"/>
          </reference>
        </references>
      </pivotArea>
    </chartFormat>
    <chartFormat chart="11" format="8">
      <pivotArea type="data" outline="0" fieldPosition="0">
        <references count="2">
          <reference field="4294967294" count="1" selected="0">
            <x v="0"/>
          </reference>
          <reference field="7" count="1" selected="0">
            <x v="1"/>
          </reference>
        </references>
      </pivotArea>
    </chartFormat>
    <chartFormat chart="11" format="9">
      <pivotArea type="data" outline="0" fieldPosition="0">
        <references count="2">
          <reference field="4294967294" count="1" selected="0">
            <x v="0"/>
          </reference>
          <reference field="7" count="1" selected="0">
            <x v="2"/>
          </reference>
        </references>
      </pivotArea>
    </chartFormat>
    <chartFormat chart="11" format="10">
      <pivotArea type="data" outline="0" fieldPosition="0">
        <references count="2">
          <reference field="4294967294" count="1" selected="0">
            <x v="0"/>
          </reference>
          <reference field="7" count="1" selected="0">
            <x v="3"/>
          </reference>
        </references>
      </pivotArea>
    </chartFormat>
    <chartFormat chart="0" format="5">
      <pivotArea type="data" outline="0" fieldPosition="0">
        <references count="2">
          <reference field="4294967294" count="1" selected="0">
            <x v="0"/>
          </reference>
          <reference field="7" count="1" selected="0">
            <x v="0"/>
          </reference>
        </references>
      </pivotArea>
    </chartFormat>
    <chartFormat chart="0" format="6">
      <pivotArea type="data" outline="0" fieldPosition="0">
        <references count="2">
          <reference field="4294967294" count="1" selected="0">
            <x v="0"/>
          </reference>
          <reference field="7" count="1" selected="0">
            <x v="1"/>
          </reference>
        </references>
      </pivotArea>
    </chartFormat>
    <chartFormat chart="0" format="7">
      <pivotArea type="data" outline="0" fieldPosition="0">
        <references count="2">
          <reference field="4294967294" count="1" selected="0">
            <x v="0"/>
          </reference>
          <reference field="7" count="1" selected="0">
            <x v="2"/>
          </reference>
        </references>
      </pivotArea>
    </chartFormat>
    <chartFormat chart="0" format="8">
      <pivotArea type="data" outline="0" fieldPosition="0">
        <references count="2">
          <reference field="4294967294" count="1" selected="0">
            <x v="0"/>
          </reference>
          <reference field="7"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EEB7C51-2163-48FF-A72C-EAAE69E5A439}"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10" firstHeaderRow="1" firstDataRow="1" firstDataCol="1"/>
  <pivotFields count="10">
    <pivotField dataField="1" showAll="0">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numFmtId="164" showAll="0">
      <items count="82">
        <item x="0"/>
        <item x="32"/>
        <item x="73"/>
        <item x="2"/>
        <item x="10"/>
        <item x="37"/>
        <item x="56"/>
        <item x="9"/>
        <item x="70"/>
        <item x="45"/>
        <item x="78"/>
        <item x="34"/>
        <item x="18"/>
        <item x="69"/>
        <item x="66"/>
        <item x="19"/>
        <item x="64"/>
        <item x="62"/>
        <item x="55"/>
        <item x="6"/>
        <item x="77"/>
        <item x="46"/>
        <item x="21"/>
        <item x="29"/>
        <item x="4"/>
        <item x="59"/>
        <item x="26"/>
        <item x="15"/>
        <item x="52"/>
        <item x="16"/>
        <item x="54"/>
        <item x="36"/>
        <item x="49"/>
        <item x="7"/>
        <item x="39"/>
        <item x="40"/>
        <item x="72"/>
        <item x="48"/>
        <item x="65"/>
        <item x="13"/>
        <item x="1"/>
        <item x="63"/>
        <item x="44"/>
        <item x="12"/>
        <item x="24"/>
        <item x="75"/>
        <item x="79"/>
        <item x="27"/>
        <item x="5"/>
        <item x="42"/>
        <item x="31"/>
        <item x="67"/>
        <item x="35"/>
        <item x="38"/>
        <item x="41"/>
        <item x="25"/>
        <item x="51"/>
        <item x="68"/>
        <item x="8"/>
        <item x="50"/>
        <item x="57"/>
        <item x="14"/>
        <item x="47"/>
        <item x="33"/>
        <item x="61"/>
        <item x="23"/>
        <item x="3"/>
        <item x="22"/>
        <item x="58"/>
        <item x="20"/>
        <item x="28"/>
        <item x="53"/>
        <item x="76"/>
        <item x="71"/>
        <item x="74"/>
        <item x="60"/>
        <item x="80"/>
        <item x="43"/>
        <item x="30"/>
        <item x="11"/>
        <item x="17"/>
        <item t="default"/>
      </items>
    </pivotField>
    <pivotField showAll="0">
      <items count="9">
        <item x="5"/>
        <item x="3"/>
        <item x="6"/>
        <item x="4"/>
        <item x="0"/>
        <item x="7"/>
        <item x="1"/>
        <item x="2"/>
        <item t="default"/>
      </items>
    </pivotField>
    <pivotField showAll="0"/>
    <pivotField showAll="0"/>
    <pivotField showAll="0"/>
    <pivotField showAll="0">
      <items count="5">
        <item x="1"/>
        <item x="0"/>
        <item x="2"/>
        <item x="3"/>
        <item t="default"/>
      </items>
    </pivotField>
    <pivotField showAll="0"/>
    <pivotField axis="axisRow" showAll="0">
      <items count="7">
        <item x="2"/>
        <item x="1"/>
        <item x="4"/>
        <item x="0"/>
        <item x="5"/>
        <item x="3"/>
        <item t="default"/>
      </items>
    </pivotField>
    <pivotField showAll="0"/>
  </pivotFields>
  <rowFields count="1">
    <field x="8"/>
  </rowFields>
  <rowItems count="7">
    <i>
      <x/>
    </i>
    <i>
      <x v="1"/>
    </i>
    <i>
      <x v="2"/>
    </i>
    <i>
      <x v="3"/>
    </i>
    <i>
      <x v="4"/>
    </i>
    <i>
      <x v="5"/>
    </i>
    <i t="grand">
      <x/>
    </i>
  </rowItems>
  <colItems count="1">
    <i/>
  </colItems>
  <dataFields count="1">
    <dataField name="Count of Accident ID" fld="0" subtotal="count"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84044B3-7362-4530-B461-01507B1745BC}"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B8" firstHeaderRow="1" firstDataRow="1" firstDataCol="1"/>
  <pivotFields count="10">
    <pivotField dataField="1" showAll="0">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numFmtId="164" showAll="0">
      <items count="82">
        <item x="0"/>
        <item x="32"/>
        <item x="73"/>
        <item x="2"/>
        <item x="10"/>
        <item x="37"/>
        <item x="56"/>
        <item x="9"/>
        <item x="70"/>
        <item x="45"/>
        <item x="78"/>
        <item x="34"/>
        <item x="18"/>
        <item x="69"/>
        <item x="66"/>
        <item x="19"/>
        <item x="64"/>
        <item x="62"/>
        <item x="55"/>
        <item x="6"/>
        <item x="77"/>
        <item x="46"/>
        <item x="21"/>
        <item x="29"/>
        <item x="4"/>
        <item x="59"/>
        <item x="26"/>
        <item x="15"/>
        <item x="52"/>
        <item x="16"/>
        <item x="54"/>
        <item x="36"/>
        <item x="49"/>
        <item x="7"/>
        <item x="39"/>
        <item x="40"/>
        <item x="72"/>
        <item x="48"/>
        <item x="65"/>
        <item x="13"/>
        <item x="1"/>
        <item x="63"/>
        <item x="44"/>
        <item x="12"/>
        <item x="24"/>
        <item x="75"/>
        <item x="79"/>
        <item x="27"/>
        <item x="5"/>
        <item x="42"/>
        <item x="31"/>
        <item x="67"/>
        <item x="35"/>
        <item x="38"/>
        <item x="41"/>
        <item x="25"/>
        <item x="51"/>
        <item x="68"/>
        <item x="8"/>
        <item x="50"/>
        <item x="57"/>
        <item x="14"/>
        <item x="47"/>
        <item x="33"/>
        <item x="61"/>
        <item x="23"/>
        <item x="3"/>
        <item x="22"/>
        <item x="58"/>
        <item x="20"/>
        <item x="28"/>
        <item x="53"/>
        <item x="76"/>
        <item x="71"/>
        <item x="74"/>
        <item x="60"/>
        <item x="80"/>
        <item x="43"/>
        <item x="30"/>
        <item x="11"/>
        <item x="17"/>
        <item t="default"/>
      </items>
    </pivotField>
    <pivotField showAll="0">
      <items count="9">
        <item x="5"/>
        <item x="3"/>
        <item x="6"/>
        <item x="4"/>
        <item x="0"/>
        <item x="7"/>
        <item x="1"/>
        <item x="2"/>
        <item t="default"/>
      </items>
    </pivotField>
    <pivotField showAll="0"/>
    <pivotField showAll="0"/>
    <pivotField showAll="0"/>
    <pivotField axis="axisRow" showAll="0">
      <items count="5">
        <item x="1"/>
        <item x="0"/>
        <item x="2"/>
        <item x="3"/>
        <item t="default"/>
      </items>
    </pivotField>
    <pivotField showAll="0"/>
    <pivotField showAll="0">
      <items count="7">
        <item x="2"/>
        <item x="1"/>
        <item x="4"/>
        <item x="0"/>
        <item x="5"/>
        <item x="3"/>
        <item t="default"/>
      </items>
    </pivotField>
    <pivotField showAll="0"/>
  </pivotFields>
  <rowFields count="1">
    <field x="6"/>
  </rowFields>
  <rowItems count="5">
    <i>
      <x/>
    </i>
    <i>
      <x v="1"/>
    </i>
    <i>
      <x v="2"/>
    </i>
    <i>
      <x v="3"/>
    </i>
    <i t="grand">
      <x/>
    </i>
  </rowItems>
  <colItems count="1">
    <i/>
  </colItems>
  <dataFields count="1">
    <dataField name="Count of Accident ID" fld="0" subtotal="count" baseField="0" baseItem="0"/>
  </dataFields>
  <chartFormats count="15">
    <chartFormat chart="0"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3" format="2">
      <pivotArea type="data" outline="0" fieldPosition="0">
        <references count="2">
          <reference field="4294967294" count="1" selected="0">
            <x v="0"/>
          </reference>
          <reference field="6" count="1" selected="0">
            <x v="0"/>
          </reference>
        </references>
      </pivotArea>
    </chartFormat>
    <chartFormat chart="3" format="3">
      <pivotArea type="data" outline="0" fieldPosition="0">
        <references count="2">
          <reference field="4294967294" count="1" selected="0">
            <x v="0"/>
          </reference>
          <reference field="6" count="1" selected="0">
            <x v="1"/>
          </reference>
        </references>
      </pivotArea>
    </chartFormat>
    <chartFormat chart="3" format="4">
      <pivotArea type="data" outline="0" fieldPosition="0">
        <references count="2">
          <reference field="4294967294" count="1" selected="0">
            <x v="0"/>
          </reference>
          <reference field="6" count="1" selected="0">
            <x v="2"/>
          </reference>
        </references>
      </pivotArea>
    </chartFormat>
    <chartFormat chart="3" format="5">
      <pivotArea type="data" outline="0" fieldPosition="0">
        <references count="2">
          <reference field="4294967294" count="1" selected="0">
            <x v="0"/>
          </reference>
          <reference field="6" count="1" selected="0">
            <x v="3"/>
          </reference>
        </references>
      </pivotArea>
    </chartFormat>
    <chartFormat chart="4" format="6" series="1">
      <pivotArea type="data" outline="0" fieldPosition="0">
        <references count="1">
          <reference field="4294967294" count="1" selected="0">
            <x v="0"/>
          </reference>
        </references>
      </pivotArea>
    </chartFormat>
    <chartFormat chart="4" format="7">
      <pivotArea type="data" outline="0" fieldPosition="0">
        <references count="2">
          <reference field="4294967294" count="1" selected="0">
            <x v="0"/>
          </reference>
          <reference field="6" count="1" selected="0">
            <x v="0"/>
          </reference>
        </references>
      </pivotArea>
    </chartFormat>
    <chartFormat chart="4" format="8">
      <pivotArea type="data" outline="0" fieldPosition="0">
        <references count="2">
          <reference field="4294967294" count="1" selected="0">
            <x v="0"/>
          </reference>
          <reference field="6" count="1" selected="0">
            <x v="1"/>
          </reference>
        </references>
      </pivotArea>
    </chartFormat>
    <chartFormat chart="4" format="9">
      <pivotArea type="data" outline="0" fieldPosition="0">
        <references count="2">
          <reference field="4294967294" count="1" selected="0">
            <x v="0"/>
          </reference>
          <reference field="6" count="1" selected="0">
            <x v="2"/>
          </reference>
        </references>
      </pivotArea>
    </chartFormat>
    <chartFormat chart="4" format="10">
      <pivotArea type="data" outline="0" fieldPosition="0">
        <references count="2">
          <reference field="4294967294" count="1" selected="0">
            <x v="0"/>
          </reference>
          <reference field="6" count="1" selected="0">
            <x v="3"/>
          </reference>
        </references>
      </pivotArea>
    </chartFormat>
    <chartFormat chart="0" format="5">
      <pivotArea type="data" outline="0" fieldPosition="0">
        <references count="2">
          <reference field="4294967294" count="1" selected="0">
            <x v="0"/>
          </reference>
          <reference field="6" count="1" selected="0">
            <x v="0"/>
          </reference>
        </references>
      </pivotArea>
    </chartFormat>
    <chartFormat chart="0" format="6">
      <pivotArea type="data" outline="0" fieldPosition="0">
        <references count="2">
          <reference field="4294967294" count="1" selected="0">
            <x v="0"/>
          </reference>
          <reference field="6" count="1" selected="0">
            <x v="1"/>
          </reference>
        </references>
      </pivotArea>
    </chartFormat>
    <chartFormat chart="0" format="7">
      <pivotArea type="data" outline="0" fieldPosition="0">
        <references count="2">
          <reference field="4294967294" count="1" selected="0">
            <x v="0"/>
          </reference>
          <reference field="6" count="1" selected="0">
            <x v="2"/>
          </reference>
        </references>
      </pivotArea>
    </chartFormat>
    <chartFormat chart="0" format="8">
      <pivotArea type="data" outline="0" fieldPosition="0">
        <references count="2">
          <reference field="4294967294" count="1" selected="0">
            <x v="0"/>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ED7802E-230E-4C7A-88B3-EE41ECDBB232}"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G104" firstHeaderRow="0" firstDataRow="1" firstDataCol="1"/>
  <pivotFields count="10">
    <pivotField axis="axisRow" showAll="0">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dataField="1" numFmtId="164" showAll="0">
      <items count="82">
        <item x="0"/>
        <item x="32"/>
        <item x="73"/>
        <item x="2"/>
        <item x="10"/>
        <item x="37"/>
        <item x="56"/>
        <item x="9"/>
        <item x="70"/>
        <item x="45"/>
        <item x="78"/>
        <item x="34"/>
        <item x="18"/>
        <item x="69"/>
        <item x="66"/>
        <item x="19"/>
        <item x="64"/>
        <item x="62"/>
        <item x="55"/>
        <item x="6"/>
        <item x="77"/>
        <item x="46"/>
        <item x="21"/>
        <item x="29"/>
        <item x="4"/>
        <item x="59"/>
        <item x="26"/>
        <item x="15"/>
        <item x="52"/>
        <item x="16"/>
        <item x="54"/>
        <item x="36"/>
        <item x="49"/>
        <item x="7"/>
        <item x="39"/>
        <item x="40"/>
        <item x="72"/>
        <item x="48"/>
        <item x="65"/>
        <item x="13"/>
        <item x="1"/>
        <item x="63"/>
        <item x="44"/>
        <item x="12"/>
        <item x="24"/>
        <item x="75"/>
        <item x="79"/>
        <item x="27"/>
        <item x="5"/>
        <item x="42"/>
        <item x="31"/>
        <item x="67"/>
        <item x="35"/>
        <item x="38"/>
        <item x="41"/>
        <item x="25"/>
        <item x="51"/>
        <item x="68"/>
        <item x="8"/>
        <item x="50"/>
        <item x="57"/>
        <item x="14"/>
        <item x="47"/>
        <item x="33"/>
        <item x="61"/>
        <item x="23"/>
        <item x="3"/>
        <item x="22"/>
        <item x="58"/>
        <item x="20"/>
        <item x="28"/>
        <item x="53"/>
        <item x="76"/>
        <item x="71"/>
        <item x="74"/>
        <item x="60"/>
        <item x="80"/>
        <item x="43"/>
        <item x="30"/>
        <item x="11"/>
        <item x="17"/>
        <item t="default"/>
      </items>
    </pivotField>
    <pivotField dataField="1" showAll="0">
      <items count="9">
        <item x="5"/>
        <item x="3"/>
        <item x="6"/>
        <item x="4"/>
        <item x="0"/>
        <item x="7"/>
        <item x="1"/>
        <item x="2"/>
        <item t="default"/>
      </items>
    </pivotField>
    <pivotField dataField="1" showAll="0">
      <items count="6">
        <item x="2"/>
        <item x="1"/>
        <item x="3"/>
        <item x="0"/>
        <item x="4"/>
        <item t="default"/>
      </items>
    </pivotField>
    <pivotField showAll="0"/>
    <pivotField showAll="0"/>
    <pivotField dataField="1" showAll="0">
      <items count="5">
        <item x="1"/>
        <item x="0"/>
        <item x="2"/>
        <item x="3"/>
        <item t="default"/>
      </items>
    </pivotField>
    <pivotField dataField="1" showAll="0"/>
    <pivotField dataField="1" showAll="0">
      <items count="7">
        <item x="2"/>
        <item x="1"/>
        <item x="4"/>
        <item x="0"/>
        <item x="5"/>
        <item x="3"/>
        <item t="default"/>
      </items>
    </pivotField>
    <pivotField showAll="0"/>
  </pivotFields>
  <rowFields count="1">
    <field x="0"/>
  </rowFields>
  <rowItems count="1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t="grand">
      <x/>
    </i>
  </rowItems>
  <colFields count="1">
    <field x="-2"/>
  </colFields>
  <colItems count="6">
    <i>
      <x/>
    </i>
    <i i="1">
      <x v="1"/>
    </i>
    <i i="2">
      <x v="2"/>
    </i>
    <i i="3">
      <x v="3"/>
    </i>
    <i i="4">
      <x v="4"/>
    </i>
    <i i="5">
      <x v="5"/>
    </i>
  </colItems>
  <dataFields count="6">
    <dataField name="Count of Date" fld="1" subtotal="count" baseField="0" baseItem="0"/>
    <dataField name="Count of Severity" fld="7" subtotal="count" baseField="0" baseItem="0"/>
    <dataField name="Count of Cause" fld="8" subtotal="count" baseField="0" baseItem="0"/>
    <dataField name="Count of Accident Type" fld="3" subtotal="count" baseField="0" baseItem="0"/>
    <dataField name="Count of Road Condition" fld="6" subtotal="count" baseField="0" baseItem="0"/>
    <dataField name="Count of Location"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ident_ID" xr10:uid="{0189511D-0D92-421E-8505-E8E600F4B614}" sourceName="Accident ID">
  <pivotTables>
    <pivotTable tabId="4" name="PivotTable1"/>
    <pivotTable tabId="5" name="PivotTable2"/>
    <pivotTable tabId="6" name="PivotTable3"/>
  </pivotTables>
  <data>
    <tabular pivotCacheId="1573653576">
      <items count="100">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i x="53" s="1"/>
        <i x="54" s="1"/>
        <i x="55" s="1"/>
        <i x="56" s="1"/>
        <i x="57" s="1"/>
        <i x="58" s="1"/>
        <i x="59" s="1"/>
        <i x="60" s="1"/>
        <i x="61" s="1"/>
        <i x="62" s="1"/>
        <i x="63" s="1"/>
        <i x="64" s="1"/>
        <i x="65" s="1"/>
        <i x="66" s="1"/>
        <i x="67" s="1"/>
        <i x="68" s="1"/>
        <i x="69" s="1"/>
        <i x="70" s="1"/>
        <i x="71" s="1"/>
        <i x="72" s="1"/>
        <i x="73" s="1"/>
        <i x="74" s="1"/>
        <i x="75" s="1"/>
        <i x="76" s="1"/>
        <i x="77" s="1"/>
        <i x="78" s="1"/>
        <i x="79" s="1"/>
        <i x="80" s="1"/>
        <i x="81" s="1"/>
        <i x="82" s="1"/>
        <i x="83" s="1"/>
        <i x="84" s="1"/>
        <i x="85" s="1"/>
        <i x="86" s="1"/>
        <i x="87" s="1"/>
        <i x="88" s="1"/>
        <i x="89" s="1"/>
        <i x="90" s="1"/>
        <i x="91" s="1"/>
        <i x="92" s="1"/>
        <i x="93" s="1"/>
        <i x="94" s="1"/>
        <i x="95" s="1"/>
        <i x="96" s="1"/>
        <i x="97" s="1"/>
        <i x="98" s="1"/>
        <i x="99"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16ACE302-DB0E-4400-BE63-2C43FFCFF1FE}" sourceName="Date">
  <pivotTables>
    <pivotTable tabId="11" name="PivotTable2"/>
    <pivotTable tabId="4" name="PivotTable1"/>
    <pivotTable tabId="5" name="PivotTable2"/>
    <pivotTable tabId="6" name="PivotTable3"/>
  </pivotTables>
  <data>
    <tabular pivotCacheId="1573653576">
      <items count="81">
        <i x="0" s="1"/>
        <i x="32" s="1"/>
        <i x="73" s="1"/>
        <i x="2" s="1"/>
        <i x="10" s="1"/>
        <i x="37" s="1"/>
        <i x="56" s="1"/>
        <i x="9" s="1"/>
        <i x="70" s="1"/>
        <i x="45" s="1"/>
        <i x="78" s="1"/>
        <i x="34" s="1"/>
        <i x="18" s="1"/>
        <i x="69" s="1"/>
        <i x="66" s="1"/>
        <i x="19" s="1"/>
        <i x="64" s="1"/>
        <i x="62" s="1"/>
        <i x="55" s="1"/>
        <i x="6" s="1"/>
        <i x="77" s="1"/>
        <i x="46" s="1"/>
        <i x="21" s="1"/>
        <i x="29" s="1"/>
        <i x="4" s="1"/>
        <i x="59" s="1"/>
        <i x="26" s="1"/>
        <i x="15" s="1"/>
        <i x="52" s="1"/>
        <i x="16" s="1"/>
        <i x="54" s="1"/>
        <i x="36" s="1"/>
        <i x="49" s="1"/>
        <i x="7" s="1"/>
        <i x="39" s="1"/>
        <i x="40" s="1"/>
        <i x="72" s="1"/>
        <i x="48" s="1"/>
        <i x="65" s="1"/>
        <i x="13" s="1"/>
        <i x="1" s="1"/>
        <i x="63" s="1"/>
        <i x="44" s="1"/>
        <i x="12" s="1"/>
        <i x="24" s="1"/>
        <i x="75" s="1"/>
        <i x="79" s="1"/>
        <i x="27" s="1"/>
        <i x="5" s="1"/>
        <i x="42" s="1"/>
        <i x="31" s="1"/>
        <i x="67" s="1"/>
        <i x="35" s="1"/>
        <i x="38" s="1"/>
        <i x="41" s="1"/>
        <i x="25" s="1"/>
        <i x="51" s="1"/>
        <i x="68" s="1"/>
        <i x="8" s="1"/>
        <i x="50" s="1"/>
        <i x="57" s="1"/>
        <i x="14" s="1"/>
        <i x="47" s="1"/>
        <i x="33" s="1"/>
        <i x="61" s="1"/>
        <i x="23" s="1"/>
        <i x="3" s="1"/>
        <i x="22" s="1"/>
        <i x="58" s="1"/>
        <i x="20" s="1"/>
        <i x="28" s="1"/>
        <i x="53" s="1"/>
        <i x="76" s="1"/>
        <i x="71" s="1"/>
        <i x="74" s="1"/>
        <i x="60" s="1"/>
        <i x="80" s="1"/>
        <i x="43" s="1"/>
        <i x="30" s="1"/>
        <i x="11" s="1"/>
        <i x="17"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 xr10:uid="{4A89F879-394A-47FD-8133-DB8CA4721DDF}" sourceName="Location">
  <pivotTables>
    <pivotTable tabId="11" name="PivotTable2"/>
    <pivotTable tabId="4" name="PivotTable1"/>
    <pivotTable tabId="5" name="PivotTable2"/>
    <pivotTable tabId="6" name="PivotTable3"/>
  </pivotTables>
  <data>
    <tabular pivotCacheId="1573653576">
      <items count="8">
        <i x="5" s="1"/>
        <i x="3" s="1"/>
        <i x="6" s="1"/>
        <i x="4" s="1"/>
        <i x="0" s="1"/>
        <i x="7"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ad_Condition" xr10:uid="{589268EE-06A9-4CD6-A798-553BA448E249}" sourceName="Road Condition">
  <pivotTables>
    <pivotTable tabId="11" name="PivotTable2"/>
    <pivotTable tabId="4" name="PivotTable1"/>
    <pivotTable tabId="5" name="PivotTable2"/>
    <pivotTable tabId="6" name="PivotTable3"/>
  </pivotTables>
  <data>
    <tabular pivotCacheId="1573653576">
      <items count="4">
        <i x="1" s="1"/>
        <i x="0" s="1"/>
        <i x="2" s="1"/>
        <i x="3"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verity" xr10:uid="{1685940D-C46D-4E6E-9B73-708253A2B191}" sourceName="Severity">
  <data>
    <tabular pivotCacheId="1573653576">
      <items count="4">
        <i x="1" s="1"/>
        <i x="2" s="1"/>
        <i x="0"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use" xr10:uid="{8628761E-568E-4CFD-9A90-D73EB0245395}" sourceName="Cause">
  <pivotTables>
    <pivotTable tabId="11" name="PivotTable2"/>
    <pivotTable tabId="4" name="PivotTable1"/>
    <pivotTable tabId="5" name="PivotTable2"/>
    <pivotTable tabId="6" name="PivotTable3"/>
  </pivotTables>
  <data>
    <tabular pivotCacheId="1573653576">
      <items count="6">
        <i x="2" s="1"/>
        <i x="1" s="1"/>
        <i x="4" s="1"/>
        <i x="0" s="1"/>
        <i x="5"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ident ID 1" xr10:uid="{AE5F894E-2427-407B-9BA7-50466D8C657F}" cache="Slicer_Accident_ID" caption="Accident ID" columnCount="5" rowHeight="234950"/>
  <slicer name="Date 3" xr10:uid="{7ACF5F95-3B56-414F-A422-94AB7675D2A3}" cache="Slicer_Date" caption="Date" columnCount="3" rowHeight="234950"/>
  <slicer name="Location 1" xr10:uid="{AC64935D-42D8-4968-A772-8998C9076E63}" cache="Slicer_Location" caption="Location" rowHeight="234950"/>
  <slicer name="Road Condition 1" xr10:uid="{2EE40B5A-8836-48EA-A1CB-1E66916F5D95}" cache="Slicer_Road_Condition" caption="Road Condition" columnCount="2" rowHeight="234950"/>
  <slicer name="Severity 1" xr10:uid="{DC048095-0EE7-4AF0-85D8-A4BCBCFFA97E}" cache="Slicer_Severity" caption="Severity" columnCount="2" rowHeight="234950"/>
  <slicer name="Cause 1" xr10:uid="{B165A616-99DF-4683-A99F-4F50F548CCF1}" cache="Slicer_Cause" caption="Cause"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0652D73F-041F-4ACB-A5F3-C7F7C7C9F9D5}" cache="Slicer_Date" caption="Dat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1BC6B1B-B7E5-4D23-81DA-CFF951D44926}" name="Table1" displayName="Table1" ref="A1:J101" totalsRowShown="0" headerRowDxfId="13" dataDxfId="12" headerRowCellStyle="Normal 2" dataCellStyle="Normal 2">
  <autoFilter ref="A1:J101" xr:uid="{B1BC6B1B-B7E5-4D23-81DA-CFF951D44926}"/>
  <tableColumns count="10">
    <tableColumn id="1" xr3:uid="{3545FC0C-8CDD-4523-BC02-C0D22EDFEF29}" name="Accident ID" dataDxfId="11" dataCellStyle="Normal 2"/>
    <tableColumn id="2" xr3:uid="{80B66629-4A08-4E63-8811-87DBD0E72840}" name="Date" dataDxfId="10" dataCellStyle="Normal 2"/>
    <tableColumn id="3" xr3:uid="{EABB5F40-4082-457E-91CF-C9D1A79A30E1}" name="Location" dataDxfId="9" dataCellStyle="Normal 2"/>
    <tableColumn id="4" xr3:uid="{9504D8A8-9B01-41B3-8B2E-6BABF0D9CB55}" name="Accident Type" dataDxfId="8" dataCellStyle="Normal 2"/>
    <tableColumn id="5" xr3:uid="{E2B33296-AC94-491A-A127-3DA6EAA35397}" name="Vehicle Type" dataDxfId="7" dataCellStyle="Normal 2"/>
    <tableColumn id="6" xr3:uid="{7ADEF791-1FA6-436B-881A-BEE3C296C235}" name="Weather Condition" dataDxfId="6" dataCellStyle="Normal 2"/>
    <tableColumn id="7" xr3:uid="{0D78C2F1-1562-400D-87B2-759042CABC40}" name="Road Condition" dataDxfId="5" dataCellStyle="Normal 2"/>
    <tableColumn id="8" xr3:uid="{81215F1A-116B-418A-9298-86D7212239B8}" name="Severity" dataDxfId="4" dataCellStyle="Normal 2"/>
    <tableColumn id="9" xr3:uid="{6DC2FF95-6357-400C-8D62-6EB5C3E9ACE3}" name="Cause" dataDxfId="3" dataCellStyle="Normal 2"/>
    <tableColumn id="10" xr3:uid="{288EE8DD-083C-4E1C-9C3C-8AD560D03486}" name="Casualties" dataDxfId="2"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59BA07-F726-4990-A0BC-20B735AE4679}">
  <sheetPr codeName="Sheet1"/>
  <dimension ref="A1:J11"/>
  <sheetViews>
    <sheetView tabSelected="1" workbookViewId="0">
      <selection activeCell="D14" sqref="D14"/>
    </sheetView>
  </sheetViews>
  <sheetFormatPr defaultRowHeight="14.4" x14ac:dyDescent="0.3"/>
  <cols>
    <col min="1" max="1" width="13.6640625" customWidth="1"/>
    <col min="2" max="2" width="17.33203125" customWidth="1"/>
    <col min="3" max="3" width="12.5546875" customWidth="1"/>
    <col min="4" max="4" width="16" bestFit="1" customWidth="1"/>
    <col min="5" max="5" width="17.88671875" bestFit="1" customWidth="1"/>
  </cols>
  <sheetData>
    <row r="1" spans="1:10" x14ac:dyDescent="0.3">
      <c r="A1" s="6" t="s">
        <v>21</v>
      </c>
      <c r="B1" s="6"/>
      <c r="C1" s="6"/>
      <c r="D1" s="6"/>
      <c r="E1" s="6"/>
      <c r="F1" s="6"/>
      <c r="G1" s="6"/>
      <c r="H1" s="6"/>
      <c r="I1" s="6"/>
      <c r="J1" s="6"/>
    </row>
    <row r="3" spans="1:10" x14ac:dyDescent="0.3">
      <c r="A3" s="8" t="s">
        <v>0</v>
      </c>
      <c r="B3" s="8" t="s">
        <v>1</v>
      </c>
      <c r="C3" s="8" t="s">
        <v>2</v>
      </c>
      <c r="D3" s="24" t="s">
        <v>19</v>
      </c>
      <c r="E3" s="24" t="s">
        <v>20</v>
      </c>
    </row>
    <row r="4" spans="1:10" x14ac:dyDescent="0.3">
      <c r="A4" s="9" t="s">
        <v>3</v>
      </c>
      <c r="B4" s="9" t="s">
        <v>4</v>
      </c>
      <c r="C4" s="25">
        <v>43266</v>
      </c>
      <c r="D4" s="17">
        <f ca="1">DATEDIF(C4, TODAY(), "Y")</f>
        <v>7</v>
      </c>
      <c r="E4" s="17">
        <f ca="1">DATEDIF(C4, TODAY(), "YM")</f>
        <v>6</v>
      </c>
    </row>
    <row r="5" spans="1:10" x14ac:dyDescent="0.3">
      <c r="A5" s="9" t="s">
        <v>5</v>
      </c>
      <c r="B5" s="9" t="s">
        <v>6</v>
      </c>
      <c r="C5" s="25">
        <v>43840</v>
      </c>
      <c r="D5" s="17">
        <f t="shared" ref="D5:D11" ca="1" si="0">DATEDIF(C5, TODAY(), "Y")</f>
        <v>5</v>
      </c>
      <c r="E5" s="17">
        <f t="shared" ref="E5:E11" ca="1" si="1">DATEDIF(C5, TODAY(), "YM")</f>
        <v>11</v>
      </c>
    </row>
    <row r="6" spans="1:10" x14ac:dyDescent="0.3">
      <c r="A6" s="9" t="s">
        <v>7</v>
      </c>
      <c r="B6" s="9" t="s">
        <v>8</v>
      </c>
      <c r="C6" s="25">
        <v>42819</v>
      </c>
      <c r="D6" s="17">
        <f t="shared" ca="1" si="0"/>
        <v>8</v>
      </c>
      <c r="E6" s="17">
        <f t="shared" ca="1" si="1"/>
        <v>9</v>
      </c>
    </row>
    <row r="7" spans="1:10" x14ac:dyDescent="0.3">
      <c r="A7" s="9" t="s">
        <v>9</v>
      </c>
      <c r="B7" s="9" t="s">
        <v>10</v>
      </c>
      <c r="C7" s="25">
        <v>44440</v>
      </c>
      <c r="D7" s="17">
        <f t="shared" ca="1" si="0"/>
        <v>4</v>
      </c>
      <c r="E7" s="17">
        <f t="shared" ca="1" si="1"/>
        <v>4</v>
      </c>
    </row>
    <row r="8" spans="1:10" x14ac:dyDescent="0.3">
      <c r="A8" s="9" t="s">
        <v>11</v>
      </c>
      <c r="B8" s="9" t="s">
        <v>12</v>
      </c>
      <c r="C8" s="25">
        <v>43781</v>
      </c>
      <c r="D8" s="17">
        <f t="shared" ca="1" si="0"/>
        <v>6</v>
      </c>
      <c r="E8" s="17">
        <f t="shared" ca="1" si="1"/>
        <v>1</v>
      </c>
    </row>
    <row r="9" spans="1:10" x14ac:dyDescent="0.3">
      <c r="A9" s="9" t="s">
        <v>13</v>
      </c>
      <c r="B9" s="9" t="s">
        <v>14</v>
      </c>
      <c r="C9" s="25">
        <v>42495</v>
      </c>
      <c r="D9" s="17">
        <f t="shared" ca="1" si="0"/>
        <v>9</v>
      </c>
      <c r="E9" s="17">
        <f t="shared" ca="1" si="1"/>
        <v>8</v>
      </c>
    </row>
    <row r="10" spans="1:10" x14ac:dyDescent="0.3">
      <c r="A10" s="9" t="s">
        <v>15</v>
      </c>
      <c r="B10" s="9" t="s">
        <v>16</v>
      </c>
      <c r="C10" s="25">
        <v>44791</v>
      </c>
      <c r="D10" s="17">
        <f t="shared" ca="1" si="0"/>
        <v>3</v>
      </c>
      <c r="E10" s="17">
        <f t="shared" ca="1" si="1"/>
        <v>4</v>
      </c>
    </row>
    <row r="11" spans="1:10" x14ac:dyDescent="0.3">
      <c r="A11" s="9" t="s">
        <v>17</v>
      </c>
      <c r="B11" s="9" t="s">
        <v>18</v>
      </c>
      <c r="C11" s="25">
        <v>42124</v>
      </c>
      <c r="D11" s="17">
        <f t="shared" ca="1" si="0"/>
        <v>10</v>
      </c>
      <c r="E11" s="17">
        <f t="shared" ca="1" si="1"/>
        <v>8</v>
      </c>
    </row>
  </sheetData>
  <mergeCells count="1">
    <mergeCell ref="A1:J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2D862F-30FC-4370-B69C-B7FD05052702}">
  <sheetPr codeName="Sheet6"/>
  <dimension ref="A1:AA3"/>
  <sheetViews>
    <sheetView showGridLines="0" zoomScale="56" zoomScaleNormal="52" workbookViewId="0">
      <selection sqref="A1:AA3"/>
    </sheetView>
  </sheetViews>
  <sheetFormatPr defaultRowHeight="14.4" x14ac:dyDescent="0.3"/>
  <cols>
    <col min="1" max="16384" width="8.88671875" style="14"/>
  </cols>
  <sheetData>
    <row r="1" spans="1:27" ht="14.4" customHeight="1" x14ac:dyDescent="0.3">
      <c r="A1" s="7" t="s">
        <v>173</v>
      </c>
      <c r="B1" s="7"/>
      <c r="C1" s="7"/>
      <c r="D1" s="7"/>
      <c r="E1" s="7"/>
      <c r="F1" s="7"/>
      <c r="G1" s="7"/>
      <c r="H1" s="7"/>
      <c r="I1" s="7"/>
      <c r="J1" s="7"/>
      <c r="K1" s="7"/>
      <c r="L1" s="7"/>
      <c r="M1" s="7"/>
      <c r="N1" s="7"/>
      <c r="O1" s="7"/>
      <c r="P1" s="7"/>
      <c r="Q1" s="7"/>
      <c r="R1" s="7"/>
      <c r="S1" s="7"/>
      <c r="T1" s="7"/>
      <c r="U1" s="7"/>
      <c r="V1" s="7"/>
      <c r="W1" s="7"/>
      <c r="X1" s="7"/>
      <c r="Y1" s="7"/>
      <c r="Z1" s="7"/>
      <c r="AA1" s="7"/>
    </row>
    <row r="2" spans="1:27" ht="14.4" customHeight="1" x14ac:dyDescent="0.3">
      <c r="A2" s="7"/>
      <c r="B2" s="7"/>
      <c r="C2" s="7"/>
      <c r="D2" s="7"/>
      <c r="E2" s="7"/>
      <c r="F2" s="7"/>
      <c r="G2" s="7"/>
      <c r="H2" s="7"/>
      <c r="I2" s="7"/>
      <c r="J2" s="7"/>
      <c r="K2" s="7"/>
      <c r="L2" s="7"/>
      <c r="M2" s="7"/>
      <c r="N2" s="7"/>
      <c r="O2" s="7"/>
      <c r="P2" s="7"/>
      <c r="Q2" s="7"/>
      <c r="R2" s="7"/>
      <c r="S2" s="7"/>
      <c r="T2" s="7"/>
      <c r="U2" s="7"/>
      <c r="V2" s="7"/>
      <c r="W2" s="7"/>
      <c r="X2" s="7"/>
      <c r="Y2" s="7"/>
      <c r="Z2" s="7"/>
      <c r="AA2" s="7"/>
    </row>
    <row r="3" spans="1:27" ht="14.4" customHeight="1" x14ac:dyDescent="0.3">
      <c r="A3" s="7"/>
      <c r="B3" s="7"/>
      <c r="C3" s="7"/>
      <c r="D3" s="7"/>
      <c r="E3" s="7"/>
      <c r="F3" s="7"/>
      <c r="G3" s="7"/>
      <c r="H3" s="7"/>
      <c r="I3" s="7"/>
      <c r="J3" s="7"/>
      <c r="K3" s="7"/>
      <c r="L3" s="7"/>
      <c r="M3" s="7"/>
      <c r="N3" s="7"/>
      <c r="O3" s="7"/>
      <c r="P3" s="7"/>
      <c r="Q3" s="7"/>
      <c r="R3" s="7"/>
      <c r="S3" s="7"/>
      <c r="T3" s="7"/>
      <c r="U3" s="7"/>
      <c r="V3" s="7"/>
      <c r="W3" s="7"/>
      <c r="X3" s="7"/>
      <c r="Y3" s="7"/>
      <c r="Z3" s="7"/>
      <c r="AA3" s="7"/>
    </row>
  </sheetData>
  <mergeCells count="1">
    <mergeCell ref="A1:AA3"/>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2C157E-C2F6-4591-8155-D9ECD2307075}">
  <sheetPr codeName="Sheet10"/>
  <dimension ref="A1:C15"/>
  <sheetViews>
    <sheetView workbookViewId="0">
      <selection activeCell="K24" sqref="K24"/>
    </sheetView>
  </sheetViews>
  <sheetFormatPr defaultRowHeight="14.4" x14ac:dyDescent="0.3"/>
  <cols>
    <col min="1" max="1" width="7.6640625" bestFit="1" customWidth="1"/>
    <col min="2" max="2" width="15.33203125" customWidth="1"/>
  </cols>
  <sheetData>
    <row r="1" spans="1:3" x14ac:dyDescent="0.3">
      <c r="A1" t="s">
        <v>204</v>
      </c>
    </row>
    <row r="3" spans="1:3" ht="28.8" x14ac:dyDescent="0.3">
      <c r="A3" s="8" t="s">
        <v>180</v>
      </c>
      <c r="B3" s="8" t="s">
        <v>181</v>
      </c>
      <c r="C3" s="8" t="s">
        <v>182</v>
      </c>
    </row>
    <row r="4" spans="1:3" x14ac:dyDescent="0.3">
      <c r="A4" s="9" t="s">
        <v>183</v>
      </c>
      <c r="B4" s="9" t="s">
        <v>184</v>
      </c>
      <c r="C4" s="10">
        <v>8</v>
      </c>
    </row>
    <row r="5" spans="1:3" x14ac:dyDescent="0.3">
      <c r="A5" s="9" t="s">
        <v>185</v>
      </c>
      <c r="B5" s="9" t="s">
        <v>186</v>
      </c>
      <c r="C5" s="11">
        <v>25</v>
      </c>
    </row>
    <row r="6" spans="1:3" x14ac:dyDescent="0.3">
      <c r="A6" s="9" t="s">
        <v>187</v>
      </c>
      <c r="B6" s="9" t="s">
        <v>188</v>
      </c>
      <c r="C6" s="12">
        <v>60</v>
      </c>
    </row>
    <row r="7" spans="1:3" x14ac:dyDescent="0.3">
      <c r="A7" s="9" t="s">
        <v>189</v>
      </c>
      <c r="B7" s="9" t="s">
        <v>190</v>
      </c>
      <c r="C7" s="10">
        <v>5</v>
      </c>
    </row>
    <row r="8" spans="1:3" x14ac:dyDescent="0.3">
      <c r="A8" s="9" t="s">
        <v>191</v>
      </c>
      <c r="B8" s="9" t="s">
        <v>192</v>
      </c>
      <c r="C8" s="11">
        <v>12</v>
      </c>
    </row>
    <row r="9" spans="1:3" x14ac:dyDescent="0.3">
      <c r="A9" s="9" t="s">
        <v>193</v>
      </c>
      <c r="B9" s="9" t="s">
        <v>194</v>
      </c>
      <c r="C9" s="12">
        <v>55</v>
      </c>
    </row>
    <row r="10" spans="1:3" x14ac:dyDescent="0.3">
      <c r="A10" s="9" t="s">
        <v>195</v>
      </c>
      <c r="B10" s="9" t="s">
        <v>196</v>
      </c>
      <c r="C10" s="10">
        <v>9</v>
      </c>
    </row>
    <row r="11" spans="1:3" x14ac:dyDescent="0.3">
      <c r="A11" s="9" t="s">
        <v>197</v>
      </c>
      <c r="B11" s="9" t="s">
        <v>198</v>
      </c>
      <c r="C11" s="11">
        <v>45</v>
      </c>
    </row>
    <row r="12" spans="1:3" x14ac:dyDescent="0.3">
      <c r="A12" s="9" t="s">
        <v>199</v>
      </c>
      <c r="B12" s="9" t="s">
        <v>200</v>
      </c>
      <c r="C12" s="12">
        <v>70</v>
      </c>
    </row>
    <row r="13" spans="1:3" x14ac:dyDescent="0.3">
      <c r="A13" s="9" t="s">
        <v>201</v>
      </c>
      <c r="B13" s="9" t="s">
        <v>202</v>
      </c>
      <c r="C13" s="11">
        <v>15</v>
      </c>
    </row>
    <row r="15" spans="1:3" x14ac:dyDescent="0.3">
      <c r="B15" t="s">
        <v>203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A81ACA-871E-4541-ABFD-4CF365A181E8}">
  <dimension ref="A1:M53"/>
  <sheetViews>
    <sheetView workbookViewId="0">
      <selection activeCell="K20" sqref="K20"/>
    </sheetView>
  </sheetViews>
  <sheetFormatPr defaultRowHeight="14.4" x14ac:dyDescent="0.3"/>
  <cols>
    <col min="1" max="1" width="16.109375" bestFit="1" customWidth="1"/>
    <col min="2" max="2" width="14.77734375" bestFit="1" customWidth="1"/>
    <col min="3" max="3" width="17.88671875" bestFit="1" customWidth="1"/>
  </cols>
  <sheetData>
    <row r="1" spans="1:13" ht="14.4" customHeight="1" x14ac:dyDescent="0.3">
      <c r="A1" s="16" t="s">
        <v>257</v>
      </c>
      <c r="B1" s="16"/>
      <c r="C1" s="16"/>
      <c r="D1" s="16"/>
      <c r="E1" s="16"/>
      <c r="F1" s="16"/>
      <c r="G1" s="16"/>
      <c r="H1" s="16"/>
      <c r="I1" s="16"/>
      <c r="J1" s="16"/>
      <c r="K1" s="16"/>
      <c r="L1" s="16"/>
      <c r="M1" s="16"/>
    </row>
    <row r="2" spans="1:13" x14ac:dyDescent="0.3">
      <c r="A2" s="16"/>
      <c r="B2" s="16"/>
      <c r="C2" s="16"/>
      <c r="D2" s="16"/>
      <c r="E2" s="16"/>
      <c r="F2" s="16"/>
      <c r="G2" s="16"/>
      <c r="H2" s="16"/>
      <c r="I2" s="16"/>
      <c r="J2" s="16"/>
      <c r="K2" s="16"/>
      <c r="L2" s="16"/>
      <c r="M2" s="16"/>
    </row>
    <row r="3" spans="1:13" x14ac:dyDescent="0.3">
      <c r="A3" s="16"/>
      <c r="B3" s="16"/>
      <c r="C3" s="16"/>
      <c r="D3" s="16"/>
      <c r="E3" s="16"/>
      <c r="F3" s="16"/>
      <c r="G3" s="16"/>
      <c r="H3" s="16"/>
      <c r="I3" s="16"/>
      <c r="J3" s="16"/>
      <c r="K3" s="16"/>
      <c r="L3" s="16"/>
      <c r="M3" s="16"/>
    </row>
    <row r="4" spans="1:13" x14ac:dyDescent="0.3">
      <c r="A4" s="17" t="s">
        <v>205</v>
      </c>
      <c r="B4" s="17" t="s">
        <v>206</v>
      </c>
      <c r="C4" s="21" t="s">
        <v>256</v>
      </c>
      <c r="D4" s="22" t="s">
        <v>206</v>
      </c>
    </row>
    <row r="5" spans="1:13" x14ac:dyDescent="0.3">
      <c r="A5" s="18" t="s">
        <v>207</v>
      </c>
      <c r="B5" s="18">
        <v>999</v>
      </c>
      <c r="C5" s="19" t="s">
        <v>213</v>
      </c>
      <c r="D5" s="20">
        <f>VLOOKUP(C5, A5:B50, 2, FALSE)</f>
        <v>1999</v>
      </c>
    </row>
    <row r="6" spans="1:13" x14ac:dyDescent="0.3">
      <c r="A6" s="18" t="s">
        <v>208</v>
      </c>
      <c r="B6" s="18">
        <v>1999</v>
      </c>
    </row>
    <row r="7" spans="1:13" x14ac:dyDescent="0.3">
      <c r="A7" s="18" t="s">
        <v>209</v>
      </c>
      <c r="B7" s="18">
        <v>2499</v>
      </c>
    </row>
    <row r="8" spans="1:13" x14ac:dyDescent="0.3">
      <c r="A8" s="18" t="s">
        <v>210</v>
      </c>
      <c r="B8" s="18">
        <v>2999</v>
      </c>
    </row>
    <row r="9" spans="1:13" x14ac:dyDescent="0.3">
      <c r="A9" s="18" t="s">
        <v>211</v>
      </c>
      <c r="B9" s="18">
        <v>999</v>
      </c>
    </row>
    <row r="10" spans="1:13" x14ac:dyDescent="0.3">
      <c r="A10" s="18" t="s">
        <v>212</v>
      </c>
      <c r="B10" s="18">
        <v>1499</v>
      </c>
    </row>
    <row r="11" spans="1:13" x14ac:dyDescent="0.3">
      <c r="A11" s="18" t="s">
        <v>213</v>
      </c>
      <c r="B11" s="18">
        <v>1999</v>
      </c>
    </row>
    <row r="12" spans="1:13" x14ac:dyDescent="0.3">
      <c r="A12" s="18" t="s">
        <v>214</v>
      </c>
      <c r="B12" s="18">
        <v>2499</v>
      </c>
    </row>
    <row r="13" spans="1:13" x14ac:dyDescent="0.3">
      <c r="A13" s="18" t="s">
        <v>215</v>
      </c>
      <c r="B13" s="18">
        <v>2999</v>
      </c>
    </row>
    <row r="14" spans="1:13" x14ac:dyDescent="0.3">
      <c r="A14" s="18" t="s">
        <v>216</v>
      </c>
      <c r="B14" s="18">
        <v>999</v>
      </c>
    </row>
    <row r="15" spans="1:13" x14ac:dyDescent="0.3">
      <c r="A15" s="18" t="s">
        <v>217</v>
      </c>
      <c r="B15" s="18">
        <v>1499</v>
      </c>
    </row>
    <row r="16" spans="1:13" x14ac:dyDescent="0.3">
      <c r="A16" s="18" t="s">
        <v>218</v>
      </c>
      <c r="B16" s="18">
        <v>1999</v>
      </c>
    </row>
    <row r="17" spans="1:2" x14ac:dyDescent="0.3">
      <c r="A17" s="18" t="s">
        <v>219</v>
      </c>
      <c r="B17" s="18">
        <v>2499</v>
      </c>
    </row>
    <row r="18" spans="1:2" x14ac:dyDescent="0.3">
      <c r="A18" s="18" t="s">
        <v>220</v>
      </c>
      <c r="B18" s="18">
        <v>2999</v>
      </c>
    </row>
    <row r="19" spans="1:2" x14ac:dyDescent="0.3">
      <c r="A19" s="18" t="s">
        <v>221</v>
      </c>
      <c r="B19" s="18">
        <v>999</v>
      </c>
    </row>
    <row r="20" spans="1:2" x14ac:dyDescent="0.3">
      <c r="A20" s="18" t="s">
        <v>222</v>
      </c>
      <c r="B20" s="18">
        <v>1499</v>
      </c>
    </row>
    <row r="21" spans="1:2" x14ac:dyDescent="0.3">
      <c r="A21" s="18" t="s">
        <v>223</v>
      </c>
      <c r="B21" s="18">
        <v>1999</v>
      </c>
    </row>
    <row r="22" spans="1:2" x14ac:dyDescent="0.3">
      <c r="A22" s="18" t="s">
        <v>224</v>
      </c>
      <c r="B22" s="18">
        <v>2499</v>
      </c>
    </row>
    <row r="23" spans="1:2" x14ac:dyDescent="0.3">
      <c r="A23" s="18" t="s">
        <v>225</v>
      </c>
      <c r="B23" s="18">
        <v>2999</v>
      </c>
    </row>
    <row r="24" spans="1:2" x14ac:dyDescent="0.3">
      <c r="A24" s="18" t="s">
        <v>226</v>
      </c>
      <c r="B24" s="18">
        <v>999</v>
      </c>
    </row>
    <row r="25" spans="1:2" x14ac:dyDescent="0.3">
      <c r="A25" s="18" t="s">
        <v>227</v>
      </c>
      <c r="B25" s="18">
        <v>1499</v>
      </c>
    </row>
    <row r="26" spans="1:2" x14ac:dyDescent="0.3">
      <c r="A26" s="18" t="s">
        <v>228</v>
      </c>
      <c r="B26" s="18">
        <v>1999</v>
      </c>
    </row>
    <row r="27" spans="1:2" x14ac:dyDescent="0.3">
      <c r="A27" s="18" t="s">
        <v>229</v>
      </c>
      <c r="B27" s="18">
        <v>2499</v>
      </c>
    </row>
    <row r="28" spans="1:2" x14ac:dyDescent="0.3">
      <c r="A28" s="18" t="s">
        <v>230</v>
      </c>
      <c r="B28" s="18">
        <v>2999</v>
      </c>
    </row>
    <row r="29" spans="1:2" x14ac:dyDescent="0.3">
      <c r="A29" s="18" t="s">
        <v>231</v>
      </c>
      <c r="B29" s="18">
        <v>999</v>
      </c>
    </row>
    <row r="30" spans="1:2" x14ac:dyDescent="0.3">
      <c r="A30" s="18" t="s">
        <v>232</v>
      </c>
      <c r="B30" s="18">
        <v>1499</v>
      </c>
    </row>
    <row r="31" spans="1:2" x14ac:dyDescent="0.3">
      <c r="A31" s="18" t="s">
        <v>233</v>
      </c>
      <c r="B31" s="18">
        <v>1999</v>
      </c>
    </row>
    <row r="32" spans="1:2" x14ac:dyDescent="0.3">
      <c r="A32" s="18" t="s">
        <v>234</v>
      </c>
      <c r="B32" s="18">
        <v>2499</v>
      </c>
    </row>
    <row r="33" spans="1:2" x14ac:dyDescent="0.3">
      <c r="A33" s="18" t="s">
        <v>235</v>
      </c>
      <c r="B33" s="18">
        <v>2999</v>
      </c>
    </row>
    <row r="34" spans="1:2" x14ac:dyDescent="0.3">
      <c r="A34" s="18" t="s">
        <v>236</v>
      </c>
      <c r="B34" s="18">
        <v>999</v>
      </c>
    </row>
    <row r="35" spans="1:2" x14ac:dyDescent="0.3">
      <c r="A35" s="18" t="s">
        <v>237</v>
      </c>
      <c r="B35" s="18">
        <v>1499</v>
      </c>
    </row>
    <row r="36" spans="1:2" x14ac:dyDescent="0.3">
      <c r="A36" s="18" t="s">
        <v>238</v>
      </c>
      <c r="B36" s="18">
        <v>1999</v>
      </c>
    </row>
    <row r="37" spans="1:2" x14ac:dyDescent="0.3">
      <c r="A37" s="18" t="s">
        <v>239</v>
      </c>
      <c r="B37" s="18">
        <v>2499</v>
      </c>
    </row>
    <row r="38" spans="1:2" x14ac:dyDescent="0.3">
      <c r="A38" s="18" t="s">
        <v>240</v>
      </c>
      <c r="B38" s="18">
        <v>2999</v>
      </c>
    </row>
    <row r="39" spans="1:2" x14ac:dyDescent="0.3">
      <c r="A39" s="18" t="s">
        <v>241</v>
      </c>
      <c r="B39" s="18">
        <v>999</v>
      </c>
    </row>
    <row r="40" spans="1:2" x14ac:dyDescent="0.3">
      <c r="A40" s="18" t="s">
        <v>242</v>
      </c>
      <c r="B40" s="18">
        <v>1499</v>
      </c>
    </row>
    <row r="41" spans="1:2" x14ac:dyDescent="0.3">
      <c r="A41" s="18" t="s">
        <v>243</v>
      </c>
      <c r="B41" s="18">
        <v>1999</v>
      </c>
    </row>
    <row r="42" spans="1:2" x14ac:dyDescent="0.3">
      <c r="A42" s="18" t="s">
        <v>244</v>
      </c>
      <c r="B42" s="18">
        <v>2499</v>
      </c>
    </row>
    <row r="43" spans="1:2" x14ac:dyDescent="0.3">
      <c r="A43" s="18" t="s">
        <v>245</v>
      </c>
      <c r="B43" s="18">
        <v>2999</v>
      </c>
    </row>
    <row r="44" spans="1:2" x14ac:dyDescent="0.3">
      <c r="A44" s="18" t="s">
        <v>246</v>
      </c>
      <c r="B44" s="18">
        <v>999</v>
      </c>
    </row>
    <row r="45" spans="1:2" x14ac:dyDescent="0.3">
      <c r="A45" s="18" t="s">
        <v>247</v>
      </c>
      <c r="B45" s="18">
        <v>1499</v>
      </c>
    </row>
    <row r="46" spans="1:2" x14ac:dyDescent="0.3">
      <c r="A46" s="18" t="s">
        <v>248</v>
      </c>
      <c r="B46" s="18">
        <v>1999</v>
      </c>
    </row>
    <row r="47" spans="1:2" x14ac:dyDescent="0.3">
      <c r="A47" s="18" t="s">
        <v>249</v>
      </c>
      <c r="B47" s="18">
        <v>2499</v>
      </c>
    </row>
    <row r="48" spans="1:2" x14ac:dyDescent="0.3">
      <c r="A48" s="18" t="s">
        <v>250</v>
      </c>
      <c r="B48" s="18">
        <v>2999</v>
      </c>
    </row>
    <row r="49" spans="1:2" x14ac:dyDescent="0.3">
      <c r="A49" s="18" t="s">
        <v>251</v>
      </c>
      <c r="B49" s="18">
        <v>999</v>
      </c>
    </row>
    <row r="50" spans="1:2" x14ac:dyDescent="0.3">
      <c r="A50" s="18" t="s">
        <v>252</v>
      </c>
      <c r="B50" s="18">
        <v>1499</v>
      </c>
    </row>
    <row r="51" spans="1:2" x14ac:dyDescent="0.3">
      <c r="A51" s="18" t="s">
        <v>253</v>
      </c>
      <c r="B51" s="18">
        <v>1999</v>
      </c>
    </row>
    <row r="52" spans="1:2" x14ac:dyDescent="0.3">
      <c r="A52" s="18" t="s">
        <v>254</v>
      </c>
      <c r="B52" s="18">
        <v>2499</v>
      </c>
    </row>
    <row r="53" spans="1:2" x14ac:dyDescent="0.3">
      <c r="A53" s="18" t="s">
        <v>255</v>
      </c>
      <c r="B53" s="18">
        <v>2999</v>
      </c>
    </row>
  </sheetData>
  <mergeCells count="1">
    <mergeCell ref="A1:M3"/>
  </mergeCells>
  <dataValidations count="1">
    <dataValidation type="list" allowBlank="1" showInputMessage="1" showErrorMessage="1" sqref="C5:C53" xr:uid="{2DE65039-E23B-4544-AD5A-E511DAA3DF42}">
      <formula1>$A$5:$A$53</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7ACF5F-BAF6-4282-8B80-DA9153DF0ADA}">
  <dimension ref="A3:R108"/>
  <sheetViews>
    <sheetView workbookViewId="0">
      <selection activeCell="J10" sqref="J10"/>
    </sheetView>
  </sheetViews>
  <sheetFormatPr defaultRowHeight="14.4" x14ac:dyDescent="0.3"/>
  <cols>
    <col min="5" max="5" width="13.21875" bestFit="1" customWidth="1"/>
    <col min="11" max="11" width="15.6640625" bestFit="1" customWidth="1"/>
    <col min="13" max="13" width="12.77734375" bestFit="1" customWidth="1"/>
    <col min="16" max="16" width="12.5546875" bestFit="1" customWidth="1"/>
    <col min="17" max="17" width="19.21875" bestFit="1" customWidth="1"/>
    <col min="18" max="18" width="14.88671875" bestFit="1" customWidth="1"/>
  </cols>
  <sheetData>
    <row r="3" spans="1:18" x14ac:dyDescent="0.3">
      <c r="A3" s="15"/>
      <c r="B3" s="15"/>
      <c r="C3" s="15"/>
      <c r="D3" s="15"/>
      <c r="E3" s="15"/>
      <c r="F3" s="15"/>
      <c r="G3" s="15"/>
      <c r="H3" s="15"/>
      <c r="I3" s="15"/>
      <c r="J3" s="15"/>
      <c r="K3" s="15"/>
      <c r="L3" s="15"/>
      <c r="M3" s="15"/>
      <c r="N3" s="15"/>
    </row>
    <row r="4" spans="1:18" x14ac:dyDescent="0.3">
      <c r="A4" s="15"/>
      <c r="B4" s="15"/>
      <c r="C4" s="15"/>
      <c r="D4" s="15"/>
      <c r="E4" s="15"/>
      <c r="F4" s="15"/>
      <c r="G4" s="15"/>
      <c r="H4" s="15"/>
      <c r="I4" s="15"/>
      <c r="J4" s="15"/>
      <c r="K4" s="15"/>
      <c r="L4" s="15"/>
      <c r="M4" s="15"/>
      <c r="N4" s="15"/>
    </row>
    <row r="5" spans="1:18" x14ac:dyDescent="0.3">
      <c r="A5" s="15"/>
      <c r="B5" s="15"/>
      <c r="C5" s="15"/>
      <c r="D5" s="15"/>
      <c r="E5" s="15"/>
      <c r="F5" s="15"/>
      <c r="G5" s="15"/>
      <c r="H5" s="15"/>
      <c r="I5" s="15"/>
      <c r="J5" s="15"/>
      <c r="K5" s="15"/>
      <c r="L5" s="15"/>
      <c r="M5" s="15"/>
      <c r="N5" s="15"/>
    </row>
    <row r="6" spans="1:18" x14ac:dyDescent="0.3">
      <c r="A6" s="15"/>
      <c r="B6" s="15"/>
      <c r="C6" s="15"/>
      <c r="D6" s="15"/>
      <c r="E6" s="15"/>
      <c r="F6" s="15"/>
      <c r="G6" s="15"/>
      <c r="H6" s="15"/>
      <c r="I6" s="15"/>
      <c r="J6" s="15"/>
      <c r="K6" s="15"/>
      <c r="L6" s="15"/>
      <c r="M6" s="15"/>
      <c r="N6" s="15"/>
    </row>
    <row r="7" spans="1:18" x14ac:dyDescent="0.3">
      <c r="A7" s="23"/>
      <c r="B7" s="23"/>
      <c r="C7" s="23"/>
      <c r="D7" s="23"/>
      <c r="E7" s="23"/>
      <c r="F7" s="23"/>
      <c r="G7" s="23"/>
      <c r="H7" s="23"/>
      <c r="I7" s="23"/>
      <c r="J7" s="23"/>
      <c r="K7" s="23"/>
      <c r="L7" s="23"/>
      <c r="M7" s="23"/>
      <c r="N7" s="23"/>
      <c r="P7" s="16" t="s">
        <v>402</v>
      </c>
      <c r="Q7" s="16"/>
      <c r="R7" s="16"/>
    </row>
    <row r="8" spans="1:18" x14ac:dyDescent="0.3">
      <c r="A8" s="17" t="s">
        <v>262</v>
      </c>
      <c r="B8" s="17" t="s">
        <v>258</v>
      </c>
      <c r="C8" s="17" t="s">
        <v>263</v>
      </c>
      <c r="D8" s="17" t="s">
        <v>264</v>
      </c>
      <c r="E8" s="17" t="s">
        <v>265</v>
      </c>
      <c r="F8" s="17" t="s">
        <v>266</v>
      </c>
      <c r="G8" s="17" t="s">
        <v>267</v>
      </c>
      <c r="H8" s="17" t="s">
        <v>268</v>
      </c>
      <c r="I8" s="17" t="s">
        <v>269</v>
      </c>
      <c r="J8" s="17" t="s">
        <v>270</v>
      </c>
      <c r="K8" s="17" t="s">
        <v>271</v>
      </c>
      <c r="L8" s="17" t="s">
        <v>272</v>
      </c>
      <c r="M8" s="17" t="s">
        <v>273</v>
      </c>
      <c r="N8" s="17" t="s">
        <v>274</v>
      </c>
      <c r="P8" s="4" t="s">
        <v>169</v>
      </c>
      <c r="Q8" t="s">
        <v>400</v>
      </c>
      <c r="R8" t="s">
        <v>401</v>
      </c>
    </row>
    <row r="9" spans="1:18" x14ac:dyDescent="0.3">
      <c r="A9" s="17" t="s">
        <v>275</v>
      </c>
      <c r="B9" s="17" t="s">
        <v>276</v>
      </c>
      <c r="C9" s="17" t="s">
        <v>277</v>
      </c>
      <c r="D9" s="17" t="s">
        <v>278</v>
      </c>
      <c r="E9" s="17">
        <v>9515759149</v>
      </c>
      <c r="F9" s="17" t="s">
        <v>279</v>
      </c>
      <c r="G9" s="17" t="s">
        <v>280</v>
      </c>
      <c r="H9" s="17">
        <v>2439.81</v>
      </c>
      <c r="I9" s="17">
        <v>5</v>
      </c>
      <c r="J9" s="17">
        <v>3559.55</v>
      </c>
      <c r="K9" s="17" t="s">
        <v>260</v>
      </c>
      <c r="L9" s="17">
        <f>H9*I9</f>
        <v>12199.05</v>
      </c>
      <c r="M9" s="17" t="str">
        <f>IF(L9&gt;20000,"High",IF(L9&gt;=10000,"Medium","Low"))</f>
        <v>Medium</v>
      </c>
      <c r="N9" s="17">
        <f>ROUND((J9/L9)*100,2)</f>
        <v>29.18</v>
      </c>
      <c r="P9" s="5" t="s">
        <v>295</v>
      </c>
      <c r="Q9" s="13">
        <v>65576.37000000001</v>
      </c>
      <c r="R9" s="13">
        <v>304204.76999999996</v>
      </c>
    </row>
    <row r="10" spans="1:18" x14ac:dyDescent="0.3">
      <c r="A10" s="17" t="s">
        <v>281</v>
      </c>
      <c r="B10" s="17" t="s">
        <v>276</v>
      </c>
      <c r="C10" s="17" t="s">
        <v>277</v>
      </c>
      <c r="D10" s="17" t="s">
        <v>278</v>
      </c>
      <c r="E10" s="17">
        <v>9720381947</v>
      </c>
      <c r="F10" s="17" t="s">
        <v>282</v>
      </c>
      <c r="G10" s="17" t="s">
        <v>283</v>
      </c>
      <c r="H10" s="17">
        <v>1621.43</v>
      </c>
      <c r="I10" s="17">
        <v>13</v>
      </c>
      <c r="J10" s="17">
        <v>4029.57</v>
      </c>
      <c r="K10" s="17" t="s">
        <v>284</v>
      </c>
      <c r="L10" s="17">
        <f t="shared" ref="L10:L73" si="0">H10*I10</f>
        <v>21078.59</v>
      </c>
      <c r="M10" s="17" t="str">
        <f t="shared" ref="M10:M73" si="1">IF(L10&gt;20000,"High",IF(L10&gt;=10000,"Medium","Low"))</f>
        <v>High</v>
      </c>
      <c r="N10" s="17">
        <f t="shared" ref="N10:N73" si="2">ROUND((J10/L10)*100,2)</f>
        <v>19.12</v>
      </c>
      <c r="P10" s="5" t="s">
        <v>307</v>
      </c>
      <c r="Q10" s="13">
        <v>53496.26</v>
      </c>
      <c r="R10" s="13">
        <v>290473.09000000003</v>
      </c>
    </row>
    <row r="11" spans="1:18" x14ac:dyDescent="0.3">
      <c r="A11" s="17" t="s">
        <v>285</v>
      </c>
      <c r="B11" s="17" t="s">
        <v>286</v>
      </c>
      <c r="C11" s="17" t="s">
        <v>277</v>
      </c>
      <c r="D11" s="17" t="s">
        <v>287</v>
      </c>
      <c r="E11" s="17">
        <v>9483465530</v>
      </c>
      <c r="F11" s="17" t="s">
        <v>279</v>
      </c>
      <c r="G11" s="17" t="s">
        <v>288</v>
      </c>
      <c r="H11" s="17">
        <v>1363.73</v>
      </c>
      <c r="I11" s="17">
        <v>1</v>
      </c>
      <c r="J11" s="17">
        <v>362.2</v>
      </c>
      <c r="K11" s="17" t="s">
        <v>284</v>
      </c>
      <c r="L11" s="17">
        <f t="shared" si="0"/>
        <v>1363.73</v>
      </c>
      <c r="M11" s="17" t="str">
        <f t="shared" si="1"/>
        <v>Low</v>
      </c>
      <c r="N11" s="17">
        <f t="shared" si="2"/>
        <v>26.56</v>
      </c>
      <c r="P11" s="5" t="s">
        <v>286</v>
      </c>
      <c r="Q11" s="13">
        <v>52548.770000000004</v>
      </c>
      <c r="R11" s="13">
        <v>278867.12999999995</v>
      </c>
    </row>
    <row r="12" spans="1:18" x14ac:dyDescent="0.3">
      <c r="A12" s="17" t="s">
        <v>289</v>
      </c>
      <c r="B12" s="17" t="s">
        <v>286</v>
      </c>
      <c r="C12" s="17" t="s">
        <v>277</v>
      </c>
      <c r="D12" s="17" t="s">
        <v>287</v>
      </c>
      <c r="E12" s="17">
        <v>9350165589</v>
      </c>
      <c r="F12" s="17" t="s">
        <v>282</v>
      </c>
      <c r="G12" s="17" t="s">
        <v>290</v>
      </c>
      <c r="H12" s="17">
        <v>1172.93</v>
      </c>
      <c r="I12" s="17">
        <v>5</v>
      </c>
      <c r="J12" s="17">
        <v>1542.65</v>
      </c>
      <c r="K12" s="17" t="s">
        <v>291</v>
      </c>
      <c r="L12" s="17">
        <f t="shared" si="0"/>
        <v>5864.6500000000005</v>
      </c>
      <c r="M12" s="17" t="str">
        <f t="shared" si="1"/>
        <v>Low</v>
      </c>
      <c r="N12" s="17">
        <f t="shared" si="2"/>
        <v>26.3</v>
      </c>
      <c r="P12" s="5" t="s">
        <v>276</v>
      </c>
      <c r="Q12" s="13">
        <v>53733.26999999999</v>
      </c>
      <c r="R12" s="13">
        <v>263623.37000000005</v>
      </c>
    </row>
    <row r="13" spans="1:18" x14ac:dyDescent="0.3">
      <c r="A13" s="17" t="s">
        <v>292</v>
      </c>
      <c r="B13" s="17" t="s">
        <v>286</v>
      </c>
      <c r="C13" s="17" t="s">
        <v>277</v>
      </c>
      <c r="D13" s="17" t="s">
        <v>278</v>
      </c>
      <c r="E13" s="17">
        <v>9621991901</v>
      </c>
      <c r="F13" s="17" t="s">
        <v>279</v>
      </c>
      <c r="G13" s="17" t="s">
        <v>210</v>
      </c>
      <c r="H13" s="17">
        <v>2457.56</v>
      </c>
      <c r="I13" s="17">
        <v>13</v>
      </c>
      <c r="J13" s="17">
        <v>6972.71</v>
      </c>
      <c r="K13" s="17" t="s">
        <v>260</v>
      </c>
      <c r="L13" s="17">
        <f t="shared" si="0"/>
        <v>31948.28</v>
      </c>
      <c r="M13" s="17" t="str">
        <f t="shared" si="1"/>
        <v>High</v>
      </c>
      <c r="N13" s="17">
        <f t="shared" si="2"/>
        <v>21.82</v>
      </c>
      <c r="P13" s="5" t="s">
        <v>170</v>
      </c>
      <c r="Q13" s="13">
        <v>225354.67</v>
      </c>
      <c r="R13" s="13">
        <v>1137168.3600000001</v>
      </c>
    </row>
    <row r="14" spans="1:18" x14ac:dyDescent="0.3">
      <c r="A14" s="17" t="s">
        <v>293</v>
      </c>
      <c r="B14" s="17" t="s">
        <v>286</v>
      </c>
      <c r="C14" s="17" t="s">
        <v>277</v>
      </c>
      <c r="D14" s="17" t="s">
        <v>287</v>
      </c>
      <c r="E14" s="17">
        <v>9734105442</v>
      </c>
      <c r="F14" s="17" t="s">
        <v>279</v>
      </c>
      <c r="G14" s="17" t="s">
        <v>213</v>
      </c>
      <c r="H14" s="17">
        <v>2661.44</v>
      </c>
      <c r="I14" s="17">
        <v>7</v>
      </c>
      <c r="J14" s="17">
        <v>2581.67</v>
      </c>
      <c r="K14" s="17" t="s">
        <v>284</v>
      </c>
      <c r="L14" s="17">
        <f t="shared" si="0"/>
        <v>18630.080000000002</v>
      </c>
      <c r="M14" s="17" t="str">
        <f t="shared" si="1"/>
        <v>Medium</v>
      </c>
      <c r="N14" s="17">
        <f t="shared" si="2"/>
        <v>13.86</v>
      </c>
    </row>
    <row r="15" spans="1:18" x14ac:dyDescent="0.3">
      <c r="A15" s="17" t="s">
        <v>294</v>
      </c>
      <c r="B15" s="17" t="s">
        <v>295</v>
      </c>
      <c r="C15" s="17" t="s">
        <v>277</v>
      </c>
      <c r="D15" s="17" t="s">
        <v>296</v>
      </c>
      <c r="E15" s="17">
        <v>9117390999</v>
      </c>
      <c r="F15" s="17" t="s">
        <v>279</v>
      </c>
      <c r="G15" s="17" t="s">
        <v>288</v>
      </c>
      <c r="H15" s="17">
        <v>1400.82</v>
      </c>
      <c r="I15" s="17">
        <v>6</v>
      </c>
      <c r="J15" s="17">
        <v>994.44</v>
      </c>
      <c r="K15" s="17" t="s">
        <v>261</v>
      </c>
      <c r="L15" s="17">
        <f t="shared" si="0"/>
        <v>8404.92</v>
      </c>
      <c r="M15" s="17" t="str">
        <f t="shared" si="1"/>
        <v>Low</v>
      </c>
      <c r="N15" s="17">
        <f t="shared" si="2"/>
        <v>11.83</v>
      </c>
      <c r="P15" s="16" t="s">
        <v>404</v>
      </c>
      <c r="Q15" s="16"/>
      <c r="R15" s="16"/>
    </row>
    <row r="16" spans="1:18" x14ac:dyDescent="0.3">
      <c r="A16" s="17" t="s">
        <v>297</v>
      </c>
      <c r="B16" s="17" t="s">
        <v>276</v>
      </c>
      <c r="C16" s="17" t="s">
        <v>277</v>
      </c>
      <c r="D16" s="17" t="s">
        <v>278</v>
      </c>
      <c r="E16" s="17">
        <v>9513032833</v>
      </c>
      <c r="F16" s="17" t="s">
        <v>282</v>
      </c>
      <c r="G16" s="17" t="s">
        <v>298</v>
      </c>
      <c r="H16" s="17">
        <v>416.18</v>
      </c>
      <c r="I16" s="17">
        <v>3</v>
      </c>
      <c r="J16" s="17">
        <v>327.88</v>
      </c>
      <c r="K16" s="17" t="s">
        <v>284</v>
      </c>
      <c r="L16" s="17">
        <f t="shared" si="0"/>
        <v>1248.54</v>
      </c>
      <c r="M16" s="17" t="str">
        <f t="shared" si="1"/>
        <v>Low</v>
      </c>
      <c r="N16" s="17">
        <f t="shared" si="2"/>
        <v>26.26</v>
      </c>
      <c r="P16" s="4" t="s">
        <v>169</v>
      </c>
      <c r="Q16" t="s">
        <v>403</v>
      </c>
    </row>
    <row r="17" spans="1:17" x14ac:dyDescent="0.3">
      <c r="A17" s="17" t="s">
        <v>299</v>
      </c>
      <c r="B17" s="17" t="s">
        <v>286</v>
      </c>
      <c r="C17" s="17" t="s">
        <v>277</v>
      </c>
      <c r="D17" s="17" t="s">
        <v>300</v>
      </c>
      <c r="E17" s="17">
        <v>95543976868</v>
      </c>
      <c r="F17" s="17" t="s">
        <v>282</v>
      </c>
      <c r="G17" s="17" t="s">
        <v>298</v>
      </c>
      <c r="H17" s="17">
        <v>1290.47</v>
      </c>
      <c r="I17" s="17">
        <v>6</v>
      </c>
      <c r="J17" s="17">
        <v>1045.43</v>
      </c>
      <c r="K17" s="17" t="s">
        <v>284</v>
      </c>
      <c r="L17" s="17">
        <f t="shared" si="0"/>
        <v>7742.82</v>
      </c>
      <c r="M17" s="17" t="str">
        <f t="shared" si="1"/>
        <v>Low</v>
      </c>
      <c r="N17" s="17">
        <f t="shared" si="2"/>
        <v>13.5</v>
      </c>
      <c r="P17" s="5" t="s">
        <v>279</v>
      </c>
      <c r="Q17" s="13">
        <v>7.2249999999999996</v>
      </c>
    </row>
    <row r="18" spans="1:17" x14ac:dyDescent="0.3">
      <c r="A18" s="17" t="s">
        <v>301</v>
      </c>
      <c r="B18" s="17" t="s">
        <v>276</v>
      </c>
      <c r="C18" s="17" t="s">
        <v>277</v>
      </c>
      <c r="D18" s="17" t="s">
        <v>302</v>
      </c>
      <c r="E18" s="17">
        <v>9866250123</v>
      </c>
      <c r="F18" s="17" t="s">
        <v>279</v>
      </c>
      <c r="G18" s="17" t="s">
        <v>288</v>
      </c>
      <c r="H18" s="17">
        <v>2519.94</v>
      </c>
      <c r="I18" s="17">
        <v>15</v>
      </c>
      <c r="J18" s="17">
        <v>11123.31</v>
      </c>
      <c r="K18" s="17" t="s">
        <v>291</v>
      </c>
      <c r="L18" s="17">
        <f t="shared" si="0"/>
        <v>37799.1</v>
      </c>
      <c r="M18" s="17" t="str">
        <f t="shared" si="1"/>
        <v>High</v>
      </c>
      <c r="N18" s="17">
        <f t="shared" si="2"/>
        <v>29.43</v>
      </c>
      <c r="P18" s="5" t="s">
        <v>259</v>
      </c>
      <c r="Q18" s="13">
        <v>8.115384615384615</v>
      </c>
    </row>
    <row r="19" spans="1:17" x14ac:dyDescent="0.3">
      <c r="A19" s="17" t="s">
        <v>303</v>
      </c>
      <c r="B19" s="17" t="s">
        <v>286</v>
      </c>
      <c r="C19" s="17" t="s">
        <v>277</v>
      </c>
      <c r="D19" s="17" t="s">
        <v>304</v>
      </c>
      <c r="E19" s="17">
        <v>9884314044</v>
      </c>
      <c r="F19" s="17" t="s">
        <v>279</v>
      </c>
      <c r="G19" s="17" t="s">
        <v>288</v>
      </c>
      <c r="H19" s="17">
        <v>2814.97</v>
      </c>
      <c r="I19" s="17">
        <v>1</v>
      </c>
      <c r="J19" s="17">
        <v>716.15</v>
      </c>
      <c r="K19" s="17" t="s">
        <v>284</v>
      </c>
      <c r="L19" s="17">
        <f t="shared" si="0"/>
        <v>2814.97</v>
      </c>
      <c r="M19" s="17" t="str">
        <f t="shared" si="1"/>
        <v>Low</v>
      </c>
      <c r="N19" s="17">
        <f t="shared" si="2"/>
        <v>25.44</v>
      </c>
      <c r="P19" s="5" t="s">
        <v>282</v>
      </c>
      <c r="Q19" s="13">
        <v>7.7647058823529411</v>
      </c>
    </row>
    <row r="20" spans="1:17" x14ac:dyDescent="0.3">
      <c r="A20" s="17" t="s">
        <v>305</v>
      </c>
      <c r="B20" s="17" t="s">
        <v>295</v>
      </c>
      <c r="C20" s="17" t="s">
        <v>277</v>
      </c>
      <c r="D20" s="17" t="s">
        <v>287</v>
      </c>
      <c r="E20" s="17">
        <v>9192128284</v>
      </c>
      <c r="F20" s="17" t="s">
        <v>279</v>
      </c>
      <c r="G20" s="17" t="s">
        <v>210</v>
      </c>
      <c r="H20" s="17">
        <v>841.72</v>
      </c>
      <c r="I20" s="17">
        <v>13</v>
      </c>
      <c r="J20" s="17">
        <v>2130.1799999999998</v>
      </c>
      <c r="K20" s="17" t="s">
        <v>261</v>
      </c>
      <c r="L20" s="17">
        <f t="shared" si="0"/>
        <v>10942.36</v>
      </c>
      <c r="M20" s="17" t="str">
        <f t="shared" si="1"/>
        <v>Medium</v>
      </c>
      <c r="N20" s="17">
        <f t="shared" si="2"/>
        <v>19.47</v>
      </c>
      <c r="P20" s="5" t="s">
        <v>170</v>
      </c>
      <c r="Q20" s="13">
        <v>7.64</v>
      </c>
    </row>
    <row r="21" spans="1:17" x14ac:dyDescent="0.3">
      <c r="A21" s="17" t="s">
        <v>306</v>
      </c>
      <c r="B21" s="17" t="s">
        <v>307</v>
      </c>
      <c r="C21" s="17" t="s">
        <v>277</v>
      </c>
      <c r="D21" s="17" t="s">
        <v>287</v>
      </c>
      <c r="E21" s="17">
        <v>9731590483</v>
      </c>
      <c r="F21" s="17" t="s">
        <v>259</v>
      </c>
      <c r="G21" s="17" t="s">
        <v>231</v>
      </c>
      <c r="H21" s="17">
        <v>1169.28</v>
      </c>
      <c r="I21" s="17">
        <v>2</v>
      </c>
      <c r="J21" s="17">
        <v>273.95</v>
      </c>
      <c r="K21" s="17" t="s">
        <v>260</v>
      </c>
      <c r="L21" s="17">
        <f t="shared" si="0"/>
        <v>2338.56</v>
      </c>
      <c r="M21" s="17" t="str">
        <f t="shared" si="1"/>
        <v>Low</v>
      </c>
      <c r="N21" s="17">
        <f t="shared" si="2"/>
        <v>11.71</v>
      </c>
    </row>
    <row r="22" spans="1:17" x14ac:dyDescent="0.3">
      <c r="A22" s="17" t="s">
        <v>308</v>
      </c>
      <c r="B22" s="17" t="s">
        <v>276</v>
      </c>
      <c r="C22" s="17" t="s">
        <v>277</v>
      </c>
      <c r="D22" s="17" t="s">
        <v>278</v>
      </c>
      <c r="E22" s="17">
        <v>9245312903</v>
      </c>
      <c r="F22" s="17" t="s">
        <v>282</v>
      </c>
      <c r="G22" s="17" t="s">
        <v>233</v>
      </c>
      <c r="H22" s="17">
        <v>2320.0300000000002</v>
      </c>
      <c r="I22" s="17">
        <v>3</v>
      </c>
      <c r="J22" s="17">
        <v>1260.55</v>
      </c>
      <c r="K22" s="17" t="s">
        <v>260</v>
      </c>
      <c r="L22" s="17">
        <f t="shared" si="0"/>
        <v>6960.09</v>
      </c>
      <c r="M22" s="17" t="str">
        <f t="shared" si="1"/>
        <v>Low</v>
      </c>
      <c r="N22" s="17">
        <f t="shared" si="2"/>
        <v>18.11</v>
      </c>
    </row>
    <row r="23" spans="1:17" x14ac:dyDescent="0.3">
      <c r="A23" s="17" t="s">
        <v>309</v>
      </c>
      <c r="B23" s="17" t="s">
        <v>307</v>
      </c>
      <c r="C23" s="17" t="s">
        <v>277</v>
      </c>
      <c r="D23" s="17" t="s">
        <v>287</v>
      </c>
      <c r="E23" s="17">
        <v>9587137236</v>
      </c>
      <c r="F23" s="17" t="s">
        <v>279</v>
      </c>
      <c r="G23" s="17" t="s">
        <v>288</v>
      </c>
      <c r="H23" s="17">
        <v>1780.66</v>
      </c>
      <c r="I23" s="17">
        <v>11</v>
      </c>
      <c r="J23" s="17">
        <v>2826.93</v>
      </c>
      <c r="K23" s="17" t="s">
        <v>261</v>
      </c>
      <c r="L23" s="17">
        <f t="shared" si="0"/>
        <v>19587.260000000002</v>
      </c>
      <c r="M23" s="17" t="str">
        <f t="shared" si="1"/>
        <v>Medium</v>
      </c>
      <c r="N23" s="17">
        <f t="shared" si="2"/>
        <v>14.43</v>
      </c>
    </row>
    <row r="24" spans="1:17" x14ac:dyDescent="0.3">
      <c r="A24" s="17" t="s">
        <v>310</v>
      </c>
      <c r="B24" s="17" t="s">
        <v>307</v>
      </c>
      <c r="C24" s="17" t="s">
        <v>277</v>
      </c>
      <c r="D24" s="17" t="s">
        <v>296</v>
      </c>
      <c r="E24" s="17">
        <v>9161819590</v>
      </c>
      <c r="F24" s="17" t="s">
        <v>259</v>
      </c>
      <c r="G24" s="17" t="s">
        <v>311</v>
      </c>
      <c r="H24" s="17">
        <v>2672</v>
      </c>
      <c r="I24" s="17">
        <v>15</v>
      </c>
      <c r="J24" s="17">
        <v>4719.91</v>
      </c>
      <c r="K24" s="17" t="s">
        <v>291</v>
      </c>
      <c r="L24" s="17">
        <f t="shared" si="0"/>
        <v>40080</v>
      </c>
      <c r="M24" s="17" t="str">
        <f t="shared" si="1"/>
        <v>High</v>
      </c>
      <c r="N24" s="17">
        <f t="shared" si="2"/>
        <v>11.78</v>
      </c>
    </row>
    <row r="25" spans="1:17" x14ac:dyDescent="0.3">
      <c r="A25" s="17" t="s">
        <v>312</v>
      </c>
      <c r="B25" s="17" t="s">
        <v>286</v>
      </c>
      <c r="C25" s="17" t="s">
        <v>277</v>
      </c>
      <c r="D25" s="17" t="s">
        <v>287</v>
      </c>
      <c r="E25" s="17">
        <v>9551484924</v>
      </c>
      <c r="F25" s="17" t="s">
        <v>279</v>
      </c>
      <c r="G25" s="17" t="s">
        <v>313</v>
      </c>
      <c r="H25" s="17">
        <v>824.49</v>
      </c>
      <c r="I25" s="17">
        <v>9</v>
      </c>
      <c r="J25" s="17">
        <v>1403.14</v>
      </c>
      <c r="K25" s="17" t="s">
        <v>314</v>
      </c>
      <c r="L25" s="17">
        <f t="shared" si="0"/>
        <v>7420.41</v>
      </c>
      <c r="M25" s="17" t="str">
        <f t="shared" si="1"/>
        <v>Low</v>
      </c>
      <c r="N25" s="17">
        <f t="shared" si="2"/>
        <v>18.91</v>
      </c>
    </row>
    <row r="26" spans="1:17" x14ac:dyDescent="0.3">
      <c r="A26" s="17" t="s">
        <v>315</v>
      </c>
      <c r="B26" s="17" t="s">
        <v>295</v>
      </c>
      <c r="C26" s="17" t="s">
        <v>277</v>
      </c>
      <c r="D26" s="17" t="s">
        <v>316</v>
      </c>
      <c r="E26" s="17">
        <v>91682255459</v>
      </c>
      <c r="F26" s="17" t="s">
        <v>259</v>
      </c>
      <c r="G26" s="17" t="s">
        <v>217</v>
      </c>
      <c r="H26" s="17">
        <v>2896.96</v>
      </c>
      <c r="I26" s="17">
        <v>7</v>
      </c>
      <c r="J26" s="17">
        <v>3528.3</v>
      </c>
      <c r="K26" s="17" t="s">
        <v>284</v>
      </c>
      <c r="L26" s="17">
        <f t="shared" si="0"/>
        <v>20278.72</v>
      </c>
      <c r="M26" s="17" t="str">
        <f t="shared" si="1"/>
        <v>High</v>
      </c>
      <c r="N26" s="17">
        <f t="shared" si="2"/>
        <v>17.399999999999999</v>
      </c>
    </row>
    <row r="27" spans="1:17" x14ac:dyDescent="0.3">
      <c r="A27" s="17" t="s">
        <v>317</v>
      </c>
      <c r="B27" s="17" t="s">
        <v>286</v>
      </c>
      <c r="C27" s="17" t="s">
        <v>277</v>
      </c>
      <c r="D27" s="17" t="s">
        <v>300</v>
      </c>
      <c r="E27" s="17">
        <v>9277023818</v>
      </c>
      <c r="F27" s="17" t="s">
        <v>259</v>
      </c>
      <c r="G27" s="17" t="s">
        <v>311</v>
      </c>
      <c r="H27" s="17">
        <v>1235.32</v>
      </c>
      <c r="I27" s="17">
        <v>9</v>
      </c>
      <c r="J27" s="17">
        <v>2542.0700000000002</v>
      </c>
      <c r="K27" s="17" t="s">
        <v>314</v>
      </c>
      <c r="L27" s="17">
        <f t="shared" si="0"/>
        <v>11117.88</v>
      </c>
      <c r="M27" s="17" t="str">
        <f t="shared" si="1"/>
        <v>Medium</v>
      </c>
      <c r="N27" s="17">
        <f t="shared" si="2"/>
        <v>22.86</v>
      </c>
    </row>
    <row r="28" spans="1:17" x14ac:dyDescent="0.3">
      <c r="A28" s="17" t="s">
        <v>318</v>
      </c>
      <c r="B28" s="17" t="s">
        <v>295</v>
      </c>
      <c r="C28" s="17" t="s">
        <v>277</v>
      </c>
      <c r="D28" s="17" t="s">
        <v>302</v>
      </c>
      <c r="E28" s="17">
        <v>9670448490</v>
      </c>
      <c r="F28" s="17" t="s">
        <v>282</v>
      </c>
      <c r="G28" s="17" t="s">
        <v>283</v>
      </c>
      <c r="H28" s="17">
        <v>2168.33</v>
      </c>
      <c r="I28" s="17">
        <v>3</v>
      </c>
      <c r="J28" s="17">
        <v>1394.93</v>
      </c>
      <c r="K28" s="17" t="s">
        <v>291</v>
      </c>
      <c r="L28" s="17">
        <f t="shared" si="0"/>
        <v>6504.99</v>
      </c>
      <c r="M28" s="17" t="str">
        <f t="shared" si="1"/>
        <v>Low</v>
      </c>
      <c r="N28" s="17">
        <f t="shared" si="2"/>
        <v>21.44</v>
      </c>
    </row>
    <row r="29" spans="1:17" x14ac:dyDescent="0.3">
      <c r="A29" s="17" t="s">
        <v>319</v>
      </c>
      <c r="B29" s="17" t="s">
        <v>295</v>
      </c>
      <c r="C29" s="17" t="s">
        <v>277</v>
      </c>
      <c r="D29" s="17" t="s">
        <v>287</v>
      </c>
      <c r="E29" s="17">
        <v>9123788207</v>
      </c>
      <c r="F29" s="17" t="s">
        <v>279</v>
      </c>
      <c r="G29" s="17" t="s">
        <v>313</v>
      </c>
      <c r="H29" s="17">
        <v>2654.54</v>
      </c>
      <c r="I29" s="17">
        <v>5</v>
      </c>
      <c r="J29" s="17">
        <v>3308.52</v>
      </c>
      <c r="K29" s="17" t="s">
        <v>314</v>
      </c>
      <c r="L29" s="17">
        <f t="shared" si="0"/>
        <v>13272.7</v>
      </c>
      <c r="M29" s="17" t="str">
        <f t="shared" si="1"/>
        <v>Medium</v>
      </c>
      <c r="N29" s="17">
        <f t="shared" si="2"/>
        <v>24.93</v>
      </c>
    </row>
    <row r="30" spans="1:17" x14ac:dyDescent="0.3">
      <c r="A30" s="17" t="s">
        <v>320</v>
      </c>
      <c r="B30" s="17" t="s">
        <v>276</v>
      </c>
      <c r="C30" s="17" t="s">
        <v>277</v>
      </c>
      <c r="D30" s="17" t="s">
        <v>296</v>
      </c>
      <c r="E30" s="17">
        <v>99831923457</v>
      </c>
      <c r="F30" s="17" t="s">
        <v>259</v>
      </c>
      <c r="G30" s="17" t="s">
        <v>211</v>
      </c>
      <c r="H30" s="17">
        <v>1313.77</v>
      </c>
      <c r="I30" s="17">
        <v>7</v>
      </c>
      <c r="J30" s="17">
        <v>2435.5500000000002</v>
      </c>
      <c r="K30" s="17" t="s">
        <v>291</v>
      </c>
      <c r="L30" s="17">
        <f t="shared" si="0"/>
        <v>9196.39</v>
      </c>
      <c r="M30" s="17" t="str">
        <f t="shared" si="1"/>
        <v>Low</v>
      </c>
      <c r="N30" s="17">
        <f t="shared" si="2"/>
        <v>26.48</v>
      </c>
    </row>
    <row r="31" spans="1:17" x14ac:dyDescent="0.3">
      <c r="A31" s="17" t="s">
        <v>321</v>
      </c>
      <c r="B31" s="17" t="s">
        <v>295</v>
      </c>
      <c r="C31" s="17" t="s">
        <v>277</v>
      </c>
      <c r="D31" s="17" t="s">
        <v>302</v>
      </c>
      <c r="E31" s="17">
        <v>9822358874</v>
      </c>
      <c r="F31" s="17" t="s">
        <v>259</v>
      </c>
      <c r="G31" s="17" t="s">
        <v>217</v>
      </c>
      <c r="H31" s="17">
        <v>1602.24</v>
      </c>
      <c r="I31" s="17">
        <v>13</v>
      </c>
      <c r="J31" s="17">
        <v>3082.85</v>
      </c>
      <c r="K31" s="17" t="s">
        <v>314</v>
      </c>
      <c r="L31" s="17">
        <f t="shared" si="0"/>
        <v>20829.12</v>
      </c>
      <c r="M31" s="17" t="str">
        <f t="shared" si="1"/>
        <v>High</v>
      </c>
      <c r="N31" s="17">
        <f t="shared" si="2"/>
        <v>14.8</v>
      </c>
    </row>
    <row r="32" spans="1:17" x14ac:dyDescent="0.3">
      <c r="A32" s="17" t="s">
        <v>322</v>
      </c>
      <c r="B32" s="17" t="s">
        <v>276</v>
      </c>
      <c r="C32" s="17" t="s">
        <v>277</v>
      </c>
      <c r="D32" s="17" t="s">
        <v>316</v>
      </c>
      <c r="E32" s="17">
        <v>9497595031</v>
      </c>
      <c r="F32" s="17" t="s">
        <v>282</v>
      </c>
      <c r="G32" s="17" t="s">
        <v>290</v>
      </c>
      <c r="H32" s="17">
        <v>592.33000000000004</v>
      </c>
      <c r="I32" s="17">
        <v>4</v>
      </c>
      <c r="J32" s="17">
        <v>539.64</v>
      </c>
      <c r="K32" s="17" t="s">
        <v>284</v>
      </c>
      <c r="L32" s="17">
        <f t="shared" si="0"/>
        <v>2369.3200000000002</v>
      </c>
      <c r="M32" s="17" t="str">
        <f t="shared" si="1"/>
        <v>Low</v>
      </c>
      <c r="N32" s="17">
        <f t="shared" si="2"/>
        <v>22.78</v>
      </c>
    </row>
    <row r="33" spans="1:14" x14ac:dyDescent="0.3">
      <c r="A33" s="17" t="s">
        <v>323</v>
      </c>
      <c r="B33" s="17" t="s">
        <v>286</v>
      </c>
      <c r="C33" s="17" t="s">
        <v>277</v>
      </c>
      <c r="D33" s="17" t="s">
        <v>304</v>
      </c>
      <c r="E33" s="17">
        <v>9781615192</v>
      </c>
      <c r="F33" s="17" t="s">
        <v>259</v>
      </c>
      <c r="G33" s="17" t="s">
        <v>311</v>
      </c>
      <c r="H33" s="17">
        <v>589.14</v>
      </c>
      <c r="I33" s="17">
        <v>8</v>
      </c>
      <c r="J33" s="17">
        <v>1252.56</v>
      </c>
      <c r="K33" s="17" t="s">
        <v>291</v>
      </c>
      <c r="L33" s="17">
        <f t="shared" si="0"/>
        <v>4713.12</v>
      </c>
      <c r="M33" s="17" t="str">
        <f t="shared" si="1"/>
        <v>Low</v>
      </c>
      <c r="N33" s="17">
        <f t="shared" si="2"/>
        <v>26.58</v>
      </c>
    </row>
    <row r="34" spans="1:14" x14ac:dyDescent="0.3">
      <c r="A34" s="17" t="s">
        <v>324</v>
      </c>
      <c r="B34" s="17" t="s">
        <v>307</v>
      </c>
      <c r="C34" s="17" t="s">
        <v>277</v>
      </c>
      <c r="D34" s="17" t="s">
        <v>316</v>
      </c>
      <c r="E34" s="17">
        <v>9310431691</v>
      </c>
      <c r="F34" s="17" t="s">
        <v>282</v>
      </c>
      <c r="G34" s="17" t="s">
        <v>298</v>
      </c>
      <c r="H34" s="17">
        <v>2354.6</v>
      </c>
      <c r="I34" s="17">
        <v>4</v>
      </c>
      <c r="J34" s="17">
        <v>2575.4299999999998</v>
      </c>
      <c r="K34" s="17" t="s">
        <v>260</v>
      </c>
      <c r="L34" s="17">
        <f t="shared" si="0"/>
        <v>9418.4</v>
      </c>
      <c r="M34" s="17" t="str">
        <f t="shared" si="1"/>
        <v>Low</v>
      </c>
      <c r="N34" s="17">
        <f t="shared" si="2"/>
        <v>27.34</v>
      </c>
    </row>
    <row r="35" spans="1:14" x14ac:dyDescent="0.3">
      <c r="A35" s="17" t="s">
        <v>325</v>
      </c>
      <c r="B35" s="17" t="s">
        <v>295</v>
      </c>
      <c r="C35" s="17" t="s">
        <v>277</v>
      </c>
      <c r="D35" s="17" t="s">
        <v>316</v>
      </c>
      <c r="E35" s="17">
        <v>9375633062</v>
      </c>
      <c r="F35" s="17" t="s">
        <v>259</v>
      </c>
      <c r="G35" s="17" t="s">
        <v>214</v>
      </c>
      <c r="H35" s="17">
        <v>1920.55</v>
      </c>
      <c r="I35" s="17">
        <v>6</v>
      </c>
      <c r="J35" s="17">
        <v>2254.59</v>
      </c>
      <c r="K35" s="17" t="s">
        <v>260</v>
      </c>
      <c r="L35" s="17">
        <f t="shared" si="0"/>
        <v>11523.3</v>
      </c>
      <c r="M35" s="17" t="str">
        <f t="shared" si="1"/>
        <v>Medium</v>
      </c>
      <c r="N35" s="17">
        <f t="shared" si="2"/>
        <v>19.57</v>
      </c>
    </row>
    <row r="36" spans="1:14" x14ac:dyDescent="0.3">
      <c r="A36" s="17" t="s">
        <v>326</v>
      </c>
      <c r="B36" s="17" t="s">
        <v>295</v>
      </c>
      <c r="C36" s="17" t="s">
        <v>277</v>
      </c>
      <c r="D36" s="17" t="s">
        <v>287</v>
      </c>
      <c r="E36" s="17">
        <v>9958467371</v>
      </c>
      <c r="F36" s="17" t="s">
        <v>279</v>
      </c>
      <c r="G36" s="17" t="s">
        <v>213</v>
      </c>
      <c r="H36" s="17">
        <v>1086.4100000000001</v>
      </c>
      <c r="I36" s="17">
        <v>7</v>
      </c>
      <c r="J36" s="17">
        <v>2066.7600000000002</v>
      </c>
      <c r="K36" s="17" t="s">
        <v>260</v>
      </c>
      <c r="L36" s="17">
        <f t="shared" si="0"/>
        <v>7604.8700000000008</v>
      </c>
      <c r="M36" s="17" t="str">
        <f t="shared" si="1"/>
        <v>Low</v>
      </c>
      <c r="N36" s="17">
        <f t="shared" si="2"/>
        <v>27.18</v>
      </c>
    </row>
    <row r="37" spans="1:14" x14ac:dyDescent="0.3">
      <c r="A37" s="17" t="s">
        <v>327</v>
      </c>
      <c r="B37" s="17" t="s">
        <v>295</v>
      </c>
      <c r="C37" s="17" t="s">
        <v>277</v>
      </c>
      <c r="D37" s="17" t="s">
        <v>287</v>
      </c>
      <c r="E37" s="17">
        <v>9485913642</v>
      </c>
      <c r="F37" s="17" t="s">
        <v>282</v>
      </c>
      <c r="G37" s="17" t="s">
        <v>233</v>
      </c>
      <c r="H37" s="17">
        <v>1181.07</v>
      </c>
      <c r="I37" s="17">
        <v>13</v>
      </c>
      <c r="J37" s="17">
        <v>3821.07</v>
      </c>
      <c r="K37" s="17" t="s">
        <v>291</v>
      </c>
      <c r="L37" s="17">
        <f t="shared" si="0"/>
        <v>15353.91</v>
      </c>
      <c r="M37" s="17" t="str">
        <f t="shared" si="1"/>
        <v>Medium</v>
      </c>
      <c r="N37" s="17">
        <f t="shared" si="2"/>
        <v>24.89</v>
      </c>
    </row>
    <row r="38" spans="1:14" x14ac:dyDescent="0.3">
      <c r="A38" s="17" t="s">
        <v>328</v>
      </c>
      <c r="B38" s="17" t="s">
        <v>295</v>
      </c>
      <c r="C38" s="17" t="s">
        <v>277</v>
      </c>
      <c r="D38" s="17" t="s">
        <v>316</v>
      </c>
      <c r="E38" s="17">
        <v>9942727052</v>
      </c>
      <c r="F38" s="17" t="s">
        <v>282</v>
      </c>
      <c r="G38" s="17" t="s">
        <v>329</v>
      </c>
      <c r="H38" s="17">
        <v>2521.1999999999998</v>
      </c>
      <c r="I38" s="17">
        <v>8</v>
      </c>
      <c r="J38" s="17">
        <v>6046.68</v>
      </c>
      <c r="K38" s="17" t="s">
        <v>260</v>
      </c>
      <c r="L38" s="17">
        <f t="shared" si="0"/>
        <v>20169.599999999999</v>
      </c>
      <c r="M38" s="17" t="str">
        <f t="shared" si="1"/>
        <v>High</v>
      </c>
      <c r="N38" s="17">
        <f t="shared" si="2"/>
        <v>29.98</v>
      </c>
    </row>
    <row r="39" spans="1:14" x14ac:dyDescent="0.3">
      <c r="A39" s="17" t="s">
        <v>330</v>
      </c>
      <c r="B39" s="17" t="s">
        <v>286</v>
      </c>
      <c r="C39" s="17" t="s">
        <v>277</v>
      </c>
      <c r="D39" s="17" t="s">
        <v>302</v>
      </c>
      <c r="E39" s="17">
        <v>9164209990</v>
      </c>
      <c r="F39" s="17" t="s">
        <v>279</v>
      </c>
      <c r="G39" s="17" t="s">
        <v>210</v>
      </c>
      <c r="H39" s="17">
        <v>1741.71</v>
      </c>
      <c r="I39" s="17">
        <v>15</v>
      </c>
      <c r="J39" s="17">
        <v>4026.14</v>
      </c>
      <c r="K39" s="17" t="s">
        <v>261</v>
      </c>
      <c r="L39" s="17">
        <f t="shared" si="0"/>
        <v>26125.65</v>
      </c>
      <c r="M39" s="17" t="str">
        <f t="shared" si="1"/>
        <v>High</v>
      </c>
      <c r="N39" s="17">
        <f t="shared" si="2"/>
        <v>15.41</v>
      </c>
    </row>
    <row r="40" spans="1:14" x14ac:dyDescent="0.3">
      <c r="A40" s="17" t="s">
        <v>331</v>
      </c>
      <c r="B40" s="17" t="s">
        <v>286</v>
      </c>
      <c r="C40" s="17" t="s">
        <v>277</v>
      </c>
      <c r="D40" s="17" t="s">
        <v>316</v>
      </c>
      <c r="E40" s="17">
        <v>9972130283</v>
      </c>
      <c r="F40" s="17" t="s">
        <v>282</v>
      </c>
      <c r="G40" s="17" t="s">
        <v>290</v>
      </c>
      <c r="H40" s="17">
        <v>1691.18</v>
      </c>
      <c r="I40" s="17">
        <v>9</v>
      </c>
      <c r="J40" s="17">
        <v>3286.83</v>
      </c>
      <c r="K40" s="17" t="s">
        <v>284</v>
      </c>
      <c r="L40" s="17">
        <f t="shared" si="0"/>
        <v>15220.62</v>
      </c>
      <c r="M40" s="17" t="str">
        <f t="shared" si="1"/>
        <v>Medium</v>
      </c>
      <c r="N40" s="17">
        <f t="shared" si="2"/>
        <v>21.59</v>
      </c>
    </row>
    <row r="41" spans="1:14" x14ac:dyDescent="0.3">
      <c r="A41" s="17" t="s">
        <v>332</v>
      </c>
      <c r="B41" s="17" t="s">
        <v>286</v>
      </c>
      <c r="C41" s="17" t="s">
        <v>277</v>
      </c>
      <c r="D41" s="17" t="s">
        <v>316</v>
      </c>
      <c r="E41" s="17">
        <v>9305312346</v>
      </c>
      <c r="F41" s="17" t="s">
        <v>279</v>
      </c>
      <c r="G41" s="17" t="s">
        <v>313</v>
      </c>
      <c r="H41" s="17">
        <v>2430.4899999999998</v>
      </c>
      <c r="I41" s="17">
        <v>1</v>
      </c>
      <c r="J41" s="17">
        <v>538.34</v>
      </c>
      <c r="K41" s="17" t="s">
        <v>314</v>
      </c>
      <c r="L41" s="17">
        <f t="shared" si="0"/>
        <v>2430.4899999999998</v>
      </c>
      <c r="M41" s="17" t="str">
        <f t="shared" si="1"/>
        <v>Low</v>
      </c>
      <c r="N41" s="17">
        <f t="shared" si="2"/>
        <v>22.15</v>
      </c>
    </row>
    <row r="42" spans="1:14" x14ac:dyDescent="0.3">
      <c r="A42" s="17" t="s">
        <v>333</v>
      </c>
      <c r="B42" s="17" t="s">
        <v>276</v>
      </c>
      <c r="C42" s="17" t="s">
        <v>277</v>
      </c>
      <c r="D42" s="17" t="s">
        <v>316</v>
      </c>
      <c r="E42" s="17">
        <v>9403336927</v>
      </c>
      <c r="F42" s="17" t="s">
        <v>279</v>
      </c>
      <c r="G42" s="17" t="s">
        <v>213</v>
      </c>
      <c r="H42" s="17">
        <v>1937.5</v>
      </c>
      <c r="I42" s="17">
        <v>10</v>
      </c>
      <c r="J42" s="17">
        <v>2548.08</v>
      </c>
      <c r="K42" s="17" t="s">
        <v>261</v>
      </c>
      <c r="L42" s="17">
        <f t="shared" si="0"/>
        <v>19375</v>
      </c>
      <c r="M42" s="17" t="str">
        <f t="shared" si="1"/>
        <v>Medium</v>
      </c>
      <c r="N42" s="17">
        <f t="shared" si="2"/>
        <v>13.15</v>
      </c>
    </row>
    <row r="43" spans="1:14" x14ac:dyDescent="0.3">
      <c r="A43" s="17" t="s">
        <v>334</v>
      </c>
      <c r="B43" s="17" t="s">
        <v>307</v>
      </c>
      <c r="C43" s="17" t="s">
        <v>277</v>
      </c>
      <c r="D43" s="17" t="s">
        <v>278</v>
      </c>
      <c r="E43" s="17">
        <v>9209432112</v>
      </c>
      <c r="F43" s="17" t="s">
        <v>279</v>
      </c>
      <c r="G43" s="17" t="s">
        <v>288</v>
      </c>
      <c r="H43" s="17">
        <v>2848.61</v>
      </c>
      <c r="I43" s="17">
        <v>15</v>
      </c>
      <c r="J43" s="17">
        <v>6188.69</v>
      </c>
      <c r="K43" s="17" t="s">
        <v>314</v>
      </c>
      <c r="L43" s="17">
        <f t="shared" si="0"/>
        <v>42729.15</v>
      </c>
      <c r="M43" s="17" t="str">
        <f t="shared" si="1"/>
        <v>High</v>
      </c>
      <c r="N43" s="17">
        <f t="shared" si="2"/>
        <v>14.48</v>
      </c>
    </row>
    <row r="44" spans="1:14" x14ac:dyDescent="0.3">
      <c r="A44" s="17" t="s">
        <v>335</v>
      </c>
      <c r="B44" s="17" t="s">
        <v>307</v>
      </c>
      <c r="C44" s="17" t="s">
        <v>277</v>
      </c>
      <c r="D44" s="17" t="s">
        <v>300</v>
      </c>
      <c r="E44" s="17">
        <v>92886736565</v>
      </c>
      <c r="F44" s="17" t="s">
        <v>282</v>
      </c>
      <c r="G44" s="17" t="s">
        <v>329</v>
      </c>
      <c r="H44" s="17">
        <v>537.01</v>
      </c>
      <c r="I44" s="17">
        <v>15</v>
      </c>
      <c r="J44" s="17">
        <v>848.33</v>
      </c>
      <c r="K44" s="17" t="s">
        <v>314</v>
      </c>
      <c r="L44" s="17">
        <f t="shared" si="0"/>
        <v>8055.15</v>
      </c>
      <c r="M44" s="17" t="str">
        <f t="shared" si="1"/>
        <v>Low</v>
      </c>
      <c r="N44" s="17">
        <f t="shared" si="2"/>
        <v>10.53</v>
      </c>
    </row>
    <row r="45" spans="1:14" x14ac:dyDescent="0.3">
      <c r="A45" s="17" t="s">
        <v>336</v>
      </c>
      <c r="B45" s="17" t="s">
        <v>295</v>
      </c>
      <c r="C45" s="17" t="s">
        <v>277</v>
      </c>
      <c r="D45" s="17" t="s">
        <v>278</v>
      </c>
      <c r="E45" s="17">
        <v>9696039067</v>
      </c>
      <c r="F45" s="17" t="s">
        <v>282</v>
      </c>
      <c r="G45" s="17" t="s">
        <v>290</v>
      </c>
      <c r="H45" s="17">
        <v>2052.79</v>
      </c>
      <c r="I45" s="17">
        <v>1</v>
      </c>
      <c r="J45" s="17">
        <v>296.79000000000002</v>
      </c>
      <c r="K45" s="17" t="s">
        <v>284</v>
      </c>
      <c r="L45" s="17">
        <f t="shared" si="0"/>
        <v>2052.79</v>
      </c>
      <c r="M45" s="17" t="str">
        <f t="shared" si="1"/>
        <v>Low</v>
      </c>
      <c r="N45" s="17">
        <f t="shared" si="2"/>
        <v>14.46</v>
      </c>
    </row>
    <row r="46" spans="1:14" x14ac:dyDescent="0.3">
      <c r="A46" s="17" t="s">
        <v>337</v>
      </c>
      <c r="B46" s="17" t="s">
        <v>295</v>
      </c>
      <c r="C46" s="17" t="s">
        <v>277</v>
      </c>
      <c r="D46" s="17" t="s">
        <v>300</v>
      </c>
      <c r="E46" s="17">
        <v>9729755086</v>
      </c>
      <c r="F46" s="17" t="s">
        <v>279</v>
      </c>
      <c r="G46" s="17" t="s">
        <v>313</v>
      </c>
      <c r="H46" s="17">
        <v>1708.1</v>
      </c>
      <c r="I46" s="17">
        <v>3</v>
      </c>
      <c r="J46" s="17">
        <v>897.22</v>
      </c>
      <c r="K46" s="17" t="s">
        <v>260</v>
      </c>
      <c r="L46" s="17">
        <f t="shared" si="0"/>
        <v>5124.2999999999993</v>
      </c>
      <c r="M46" s="17" t="str">
        <f t="shared" si="1"/>
        <v>Low</v>
      </c>
      <c r="N46" s="17">
        <f t="shared" si="2"/>
        <v>17.510000000000002</v>
      </c>
    </row>
    <row r="47" spans="1:14" x14ac:dyDescent="0.3">
      <c r="A47" s="17" t="s">
        <v>338</v>
      </c>
      <c r="B47" s="17" t="s">
        <v>295</v>
      </c>
      <c r="C47" s="17" t="s">
        <v>277</v>
      </c>
      <c r="D47" s="17" t="s">
        <v>316</v>
      </c>
      <c r="E47" s="17">
        <v>9291717779</v>
      </c>
      <c r="F47" s="17" t="s">
        <v>259</v>
      </c>
      <c r="G47" s="17" t="s">
        <v>217</v>
      </c>
      <c r="H47" s="17">
        <v>1616.55</v>
      </c>
      <c r="I47" s="17">
        <v>14</v>
      </c>
      <c r="J47" s="17">
        <v>6621.29</v>
      </c>
      <c r="K47" s="17" t="s">
        <v>260</v>
      </c>
      <c r="L47" s="17">
        <f t="shared" si="0"/>
        <v>22631.7</v>
      </c>
      <c r="M47" s="17" t="str">
        <f t="shared" si="1"/>
        <v>High</v>
      </c>
      <c r="N47" s="17">
        <f t="shared" si="2"/>
        <v>29.26</v>
      </c>
    </row>
    <row r="48" spans="1:14" x14ac:dyDescent="0.3">
      <c r="A48" s="17" t="s">
        <v>339</v>
      </c>
      <c r="B48" s="17" t="s">
        <v>295</v>
      </c>
      <c r="C48" s="17" t="s">
        <v>277</v>
      </c>
      <c r="D48" s="17" t="s">
        <v>278</v>
      </c>
      <c r="E48" s="17">
        <v>9596984707</v>
      </c>
      <c r="F48" s="17" t="s">
        <v>279</v>
      </c>
      <c r="G48" s="17" t="s">
        <v>210</v>
      </c>
      <c r="H48" s="17">
        <v>1774.62</v>
      </c>
      <c r="I48" s="17">
        <v>7</v>
      </c>
      <c r="J48" s="17">
        <v>3378.16</v>
      </c>
      <c r="K48" s="17" t="s">
        <v>260</v>
      </c>
      <c r="L48" s="17">
        <f t="shared" si="0"/>
        <v>12422.34</v>
      </c>
      <c r="M48" s="17" t="str">
        <f t="shared" si="1"/>
        <v>Medium</v>
      </c>
      <c r="N48" s="17">
        <f t="shared" si="2"/>
        <v>27.19</v>
      </c>
    </row>
    <row r="49" spans="1:14" x14ac:dyDescent="0.3">
      <c r="A49" s="17" t="s">
        <v>340</v>
      </c>
      <c r="B49" s="17" t="s">
        <v>286</v>
      </c>
      <c r="C49" s="17" t="s">
        <v>277</v>
      </c>
      <c r="D49" s="17" t="s">
        <v>302</v>
      </c>
      <c r="E49" s="17">
        <v>9621477109</v>
      </c>
      <c r="F49" s="17" t="s">
        <v>259</v>
      </c>
      <c r="G49" s="17" t="s">
        <v>214</v>
      </c>
      <c r="H49" s="17">
        <v>644.14</v>
      </c>
      <c r="I49" s="17">
        <v>12</v>
      </c>
      <c r="J49" s="17">
        <v>988.52</v>
      </c>
      <c r="K49" s="17" t="s">
        <v>291</v>
      </c>
      <c r="L49" s="17">
        <f t="shared" si="0"/>
        <v>7729.68</v>
      </c>
      <c r="M49" s="17" t="str">
        <f t="shared" si="1"/>
        <v>Low</v>
      </c>
      <c r="N49" s="17">
        <f t="shared" si="2"/>
        <v>12.79</v>
      </c>
    </row>
    <row r="50" spans="1:14" x14ac:dyDescent="0.3">
      <c r="A50" s="17" t="s">
        <v>341</v>
      </c>
      <c r="B50" s="17" t="s">
        <v>286</v>
      </c>
      <c r="C50" s="17" t="s">
        <v>277</v>
      </c>
      <c r="D50" s="17" t="s">
        <v>287</v>
      </c>
      <c r="E50" s="17">
        <v>9813614929</v>
      </c>
      <c r="F50" s="17" t="s">
        <v>282</v>
      </c>
      <c r="G50" s="17" t="s">
        <v>290</v>
      </c>
      <c r="H50" s="17">
        <v>1767.47</v>
      </c>
      <c r="I50" s="17">
        <v>13</v>
      </c>
      <c r="J50" s="17">
        <v>3353.4</v>
      </c>
      <c r="K50" s="17" t="s">
        <v>261</v>
      </c>
      <c r="L50" s="17">
        <f t="shared" si="0"/>
        <v>22977.11</v>
      </c>
      <c r="M50" s="17" t="str">
        <f t="shared" si="1"/>
        <v>High</v>
      </c>
      <c r="N50" s="17">
        <f t="shared" si="2"/>
        <v>14.59</v>
      </c>
    </row>
    <row r="51" spans="1:14" x14ac:dyDescent="0.3">
      <c r="A51" s="17" t="s">
        <v>342</v>
      </c>
      <c r="B51" s="17" t="s">
        <v>295</v>
      </c>
      <c r="C51" s="17" t="s">
        <v>277</v>
      </c>
      <c r="D51" s="17" t="s">
        <v>296</v>
      </c>
      <c r="E51" s="17">
        <v>9314930259</v>
      </c>
      <c r="F51" s="17" t="s">
        <v>279</v>
      </c>
      <c r="G51" s="17" t="s">
        <v>213</v>
      </c>
      <c r="H51" s="17">
        <v>2506.6</v>
      </c>
      <c r="I51" s="17">
        <v>11</v>
      </c>
      <c r="J51" s="17">
        <v>8011.16</v>
      </c>
      <c r="K51" s="17" t="s">
        <v>261</v>
      </c>
      <c r="L51" s="17">
        <f t="shared" si="0"/>
        <v>27572.6</v>
      </c>
      <c r="M51" s="17" t="str">
        <f t="shared" si="1"/>
        <v>High</v>
      </c>
      <c r="N51" s="17">
        <f t="shared" si="2"/>
        <v>29.05</v>
      </c>
    </row>
    <row r="52" spans="1:14" x14ac:dyDescent="0.3">
      <c r="A52" s="17" t="s">
        <v>343</v>
      </c>
      <c r="B52" s="17" t="s">
        <v>276</v>
      </c>
      <c r="C52" s="17" t="s">
        <v>277</v>
      </c>
      <c r="D52" s="17" t="s">
        <v>287</v>
      </c>
      <c r="E52" s="17">
        <v>93262535688</v>
      </c>
      <c r="F52" s="17" t="s">
        <v>259</v>
      </c>
      <c r="G52" s="17" t="s">
        <v>231</v>
      </c>
      <c r="H52" s="17">
        <v>727.87</v>
      </c>
      <c r="I52" s="17">
        <v>2</v>
      </c>
      <c r="J52" s="17">
        <v>385.93</v>
      </c>
      <c r="K52" s="17" t="s">
        <v>260</v>
      </c>
      <c r="L52" s="17">
        <f t="shared" si="0"/>
        <v>1455.74</v>
      </c>
      <c r="M52" s="17" t="str">
        <f t="shared" si="1"/>
        <v>Low</v>
      </c>
      <c r="N52" s="17">
        <f t="shared" si="2"/>
        <v>26.51</v>
      </c>
    </row>
    <row r="53" spans="1:14" x14ac:dyDescent="0.3">
      <c r="A53" s="17" t="s">
        <v>344</v>
      </c>
      <c r="B53" s="17" t="s">
        <v>276</v>
      </c>
      <c r="C53" s="17" t="s">
        <v>277</v>
      </c>
      <c r="D53" s="17" t="s">
        <v>316</v>
      </c>
      <c r="E53" s="17">
        <v>9922473225</v>
      </c>
      <c r="F53" s="17" t="s">
        <v>282</v>
      </c>
      <c r="G53" s="17" t="s">
        <v>290</v>
      </c>
      <c r="H53" s="17">
        <v>2509.39</v>
      </c>
      <c r="I53" s="17">
        <v>4</v>
      </c>
      <c r="J53" s="17">
        <v>2607.48</v>
      </c>
      <c r="K53" s="17" t="s">
        <v>260</v>
      </c>
      <c r="L53" s="17">
        <f t="shared" si="0"/>
        <v>10037.56</v>
      </c>
      <c r="M53" s="17" t="str">
        <f t="shared" si="1"/>
        <v>Medium</v>
      </c>
      <c r="N53" s="17">
        <f t="shared" si="2"/>
        <v>25.98</v>
      </c>
    </row>
    <row r="54" spans="1:14" x14ac:dyDescent="0.3">
      <c r="A54" s="17" t="s">
        <v>345</v>
      </c>
      <c r="B54" s="17" t="s">
        <v>307</v>
      </c>
      <c r="C54" s="17" t="s">
        <v>277</v>
      </c>
      <c r="D54" s="17" t="s">
        <v>304</v>
      </c>
      <c r="E54" s="17">
        <v>9435049619</v>
      </c>
      <c r="F54" s="17" t="s">
        <v>259</v>
      </c>
      <c r="G54" s="17" t="s">
        <v>311</v>
      </c>
      <c r="H54" s="17">
        <v>254.27</v>
      </c>
      <c r="I54" s="17">
        <v>5</v>
      </c>
      <c r="J54" s="17">
        <v>247.89</v>
      </c>
      <c r="K54" s="17" t="s">
        <v>284</v>
      </c>
      <c r="L54" s="17">
        <f t="shared" si="0"/>
        <v>1271.3500000000001</v>
      </c>
      <c r="M54" s="17" t="str">
        <f t="shared" si="1"/>
        <v>Low</v>
      </c>
      <c r="N54" s="17">
        <f t="shared" si="2"/>
        <v>19.5</v>
      </c>
    </row>
    <row r="55" spans="1:14" x14ac:dyDescent="0.3">
      <c r="A55" s="17" t="s">
        <v>346</v>
      </c>
      <c r="B55" s="17" t="s">
        <v>295</v>
      </c>
      <c r="C55" s="17" t="s">
        <v>277</v>
      </c>
      <c r="D55" s="17" t="s">
        <v>316</v>
      </c>
      <c r="E55" s="17">
        <v>9139717689</v>
      </c>
      <c r="F55" s="17" t="s">
        <v>259</v>
      </c>
      <c r="G55" s="17" t="s">
        <v>231</v>
      </c>
      <c r="H55" s="17">
        <v>1104.23</v>
      </c>
      <c r="I55" s="17">
        <v>11</v>
      </c>
      <c r="J55" s="17">
        <v>1883.37</v>
      </c>
      <c r="K55" s="17" t="s">
        <v>260</v>
      </c>
      <c r="L55" s="17">
        <f t="shared" si="0"/>
        <v>12146.53</v>
      </c>
      <c r="M55" s="17" t="str">
        <f t="shared" si="1"/>
        <v>Medium</v>
      </c>
      <c r="N55" s="17">
        <f t="shared" si="2"/>
        <v>15.51</v>
      </c>
    </row>
    <row r="56" spans="1:14" x14ac:dyDescent="0.3">
      <c r="A56" s="17" t="s">
        <v>347</v>
      </c>
      <c r="B56" s="17" t="s">
        <v>286</v>
      </c>
      <c r="C56" s="17" t="s">
        <v>277</v>
      </c>
      <c r="D56" s="17" t="s">
        <v>287</v>
      </c>
      <c r="E56" s="17">
        <v>9873282041</v>
      </c>
      <c r="F56" s="17" t="s">
        <v>259</v>
      </c>
      <c r="G56" s="17" t="s">
        <v>211</v>
      </c>
      <c r="H56" s="17">
        <v>861.53</v>
      </c>
      <c r="I56" s="17">
        <v>3</v>
      </c>
      <c r="J56" s="17">
        <v>482.01</v>
      </c>
      <c r="K56" s="17" t="s">
        <v>314</v>
      </c>
      <c r="L56" s="17">
        <f t="shared" si="0"/>
        <v>2584.59</v>
      </c>
      <c r="M56" s="17" t="str">
        <f t="shared" si="1"/>
        <v>Low</v>
      </c>
      <c r="N56" s="17">
        <f t="shared" si="2"/>
        <v>18.649999999999999</v>
      </c>
    </row>
    <row r="57" spans="1:14" x14ac:dyDescent="0.3">
      <c r="A57" s="17" t="s">
        <v>348</v>
      </c>
      <c r="B57" s="17" t="s">
        <v>307</v>
      </c>
      <c r="C57" s="17" t="s">
        <v>277</v>
      </c>
      <c r="D57" s="17" t="s">
        <v>287</v>
      </c>
      <c r="E57" s="17">
        <v>9520705759</v>
      </c>
      <c r="F57" s="17" t="s">
        <v>279</v>
      </c>
      <c r="G57" s="17" t="s">
        <v>288</v>
      </c>
      <c r="H57" s="17">
        <v>940.76</v>
      </c>
      <c r="I57" s="17">
        <v>4</v>
      </c>
      <c r="J57" s="17">
        <v>842.47</v>
      </c>
      <c r="K57" s="17" t="s">
        <v>314</v>
      </c>
      <c r="L57" s="17">
        <f t="shared" si="0"/>
        <v>3763.04</v>
      </c>
      <c r="M57" s="17" t="str">
        <f t="shared" si="1"/>
        <v>Low</v>
      </c>
      <c r="N57" s="17">
        <f t="shared" si="2"/>
        <v>22.39</v>
      </c>
    </row>
    <row r="58" spans="1:14" x14ac:dyDescent="0.3">
      <c r="A58" s="17" t="s">
        <v>349</v>
      </c>
      <c r="B58" s="17" t="s">
        <v>295</v>
      </c>
      <c r="C58" s="17" t="s">
        <v>277</v>
      </c>
      <c r="D58" s="17" t="s">
        <v>287</v>
      </c>
      <c r="E58" s="17">
        <v>9648648568</v>
      </c>
      <c r="F58" s="17" t="s">
        <v>279</v>
      </c>
      <c r="G58" s="17" t="s">
        <v>288</v>
      </c>
      <c r="H58" s="17">
        <v>1505.5</v>
      </c>
      <c r="I58" s="17">
        <v>11</v>
      </c>
      <c r="J58" s="17">
        <v>3985.19</v>
      </c>
      <c r="K58" s="17" t="s">
        <v>314</v>
      </c>
      <c r="L58" s="17">
        <f t="shared" si="0"/>
        <v>16560.5</v>
      </c>
      <c r="M58" s="17" t="str">
        <f t="shared" si="1"/>
        <v>Medium</v>
      </c>
      <c r="N58" s="17">
        <f t="shared" si="2"/>
        <v>24.06</v>
      </c>
    </row>
    <row r="59" spans="1:14" x14ac:dyDescent="0.3">
      <c r="A59" s="17" t="s">
        <v>350</v>
      </c>
      <c r="B59" s="17" t="s">
        <v>276</v>
      </c>
      <c r="C59" s="17" t="s">
        <v>277</v>
      </c>
      <c r="D59" s="17" t="s">
        <v>316</v>
      </c>
      <c r="E59" s="17">
        <v>9416435713</v>
      </c>
      <c r="F59" s="17" t="s">
        <v>279</v>
      </c>
      <c r="G59" s="17" t="s">
        <v>210</v>
      </c>
      <c r="H59" s="17">
        <v>1477.49</v>
      </c>
      <c r="I59" s="17">
        <v>11</v>
      </c>
      <c r="J59" s="17">
        <v>2428.98</v>
      </c>
      <c r="K59" s="17" t="s">
        <v>260</v>
      </c>
      <c r="L59" s="17">
        <f t="shared" si="0"/>
        <v>16252.39</v>
      </c>
      <c r="M59" s="17" t="str">
        <f t="shared" si="1"/>
        <v>Medium</v>
      </c>
      <c r="N59" s="17">
        <f t="shared" si="2"/>
        <v>14.95</v>
      </c>
    </row>
    <row r="60" spans="1:14" x14ac:dyDescent="0.3">
      <c r="A60" s="17" t="s">
        <v>351</v>
      </c>
      <c r="B60" s="17" t="s">
        <v>295</v>
      </c>
      <c r="C60" s="17" t="s">
        <v>277</v>
      </c>
      <c r="D60" s="17" t="s">
        <v>304</v>
      </c>
      <c r="E60" s="17">
        <v>9211381294</v>
      </c>
      <c r="F60" s="17" t="s">
        <v>282</v>
      </c>
      <c r="G60" s="17" t="s">
        <v>298</v>
      </c>
      <c r="H60" s="17">
        <v>704.64</v>
      </c>
      <c r="I60" s="17">
        <v>2</v>
      </c>
      <c r="J60" s="17">
        <v>163.57</v>
      </c>
      <c r="K60" s="17" t="s">
        <v>261</v>
      </c>
      <c r="L60" s="17">
        <f t="shared" si="0"/>
        <v>1409.28</v>
      </c>
      <c r="M60" s="17" t="str">
        <f t="shared" si="1"/>
        <v>Low</v>
      </c>
      <c r="N60" s="17">
        <f t="shared" si="2"/>
        <v>11.61</v>
      </c>
    </row>
    <row r="61" spans="1:14" x14ac:dyDescent="0.3">
      <c r="A61" s="17" t="s">
        <v>352</v>
      </c>
      <c r="B61" s="17" t="s">
        <v>307</v>
      </c>
      <c r="C61" s="17" t="s">
        <v>277</v>
      </c>
      <c r="D61" s="17" t="s">
        <v>287</v>
      </c>
      <c r="E61" s="17">
        <v>9791244114</v>
      </c>
      <c r="F61" s="17" t="s">
        <v>282</v>
      </c>
      <c r="G61" s="17" t="s">
        <v>329</v>
      </c>
      <c r="H61" s="17">
        <v>2030.2</v>
      </c>
      <c r="I61" s="17">
        <v>13</v>
      </c>
      <c r="J61" s="17">
        <v>3695.03</v>
      </c>
      <c r="K61" s="17" t="s">
        <v>284</v>
      </c>
      <c r="L61" s="17">
        <f t="shared" si="0"/>
        <v>26392.600000000002</v>
      </c>
      <c r="M61" s="17" t="str">
        <f t="shared" si="1"/>
        <v>High</v>
      </c>
      <c r="N61" s="17">
        <f t="shared" si="2"/>
        <v>14</v>
      </c>
    </row>
    <row r="62" spans="1:14" x14ac:dyDescent="0.3">
      <c r="A62" s="17" t="s">
        <v>353</v>
      </c>
      <c r="B62" s="17" t="s">
        <v>276</v>
      </c>
      <c r="C62" s="17" t="s">
        <v>277</v>
      </c>
      <c r="D62" s="17" t="s">
        <v>304</v>
      </c>
      <c r="E62" s="17">
        <v>9194670146</v>
      </c>
      <c r="F62" s="17" t="s">
        <v>279</v>
      </c>
      <c r="G62" s="17" t="s">
        <v>280</v>
      </c>
      <c r="H62" s="17">
        <v>1822.28</v>
      </c>
      <c r="I62" s="17">
        <v>4</v>
      </c>
      <c r="J62" s="17">
        <v>1973.2</v>
      </c>
      <c r="K62" s="17" t="s">
        <v>291</v>
      </c>
      <c r="L62" s="17">
        <f t="shared" si="0"/>
        <v>7289.12</v>
      </c>
      <c r="M62" s="17" t="str">
        <f t="shared" si="1"/>
        <v>Low</v>
      </c>
      <c r="N62" s="17">
        <f t="shared" si="2"/>
        <v>27.07</v>
      </c>
    </row>
    <row r="63" spans="1:14" x14ac:dyDescent="0.3">
      <c r="A63" s="17" t="s">
        <v>354</v>
      </c>
      <c r="B63" s="17" t="s">
        <v>307</v>
      </c>
      <c r="C63" s="17" t="s">
        <v>277</v>
      </c>
      <c r="D63" s="17" t="s">
        <v>300</v>
      </c>
      <c r="E63" s="17">
        <v>9519275644</v>
      </c>
      <c r="F63" s="17" t="s">
        <v>282</v>
      </c>
      <c r="G63" s="17" t="s">
        <v>290</v>
      </c>
      <c r="H63" s="17">
        <v>600.17999999999995</v>
      </c>
      <c r="I63" s="17">
        <v>11</v>
      </c>
      <c r="J63" s="17">
        <v>1525.57</v>
      </c>
      <c r="K63" s="17" t="s">
        <v>260</v>
      </c>
      <c r="L63" s="17">
        <f t="shared" si="0"/>
        <v>6601.98</v>
      </c>
      <c r="M63" s="17" t="str">
        <f t="shared" si="1"/>
        <v>Low</v>
      </c>
      <c r="N63" s="17">
        <f t="shared" si="2"/>
        <v>23.11</v>
      </c>
    </row>
    <row r="64" spans="1:14" x14ac:dyDescent="0.3">
      <c r="A64" s="17" t="s">
        <v>355</v>
      </c>
      <c r="B64" s="17" t="s">
        <v>286</v>
      </c>
      <c r="C64" s="17" t="s">
        <v>277</v>
      </c>
      <c r="D64" s="17" t="s">
        <v>300</v>
      </c>
      <c r="E64" s="17">
        <v>9520013561</v>
      </c>
      <c r="F64" s="17" t="s">
        <v>279</v>
      </c>
      <c r="G64" s="17" t="s">
        <v>288</v>
      </c>
      <c r="H64" s="17">
        <v>2330.36</v>
      </c>
      <c r="I64" s="17">
        <v>7</v>
      </c>
      <c r="J64" s="17">
        <v>3532.26</v>
      </c>
      <c r="K64" s="17" t="s">
        <v>314</v>
      </c>
      <c r="L64" s="17">
        <f t="shared" si="0"/>
        <v>16312.52</v>
      </c>
      <c r="M64" s="17" t="str">
        <f t="shared" si="1"/>
        <v>Medium</v>
      </c>
      <c r="N64" s="17">
        <f t="shared" si="2"/>
        <v>21.65</v>
      </c>
    </row>
    <row r="65" spans="1:14" x14ac:dyDescent="0.3">
      <c r="A65" s="17" t="s">
        <v>356</v>
      </c>
      <c r="B65" s="17" t="s">
        <v>307</v>
      </c>
      <c r="C65" s="17" t="s">
        <v>277</v>
      </c>
      <c r="D65" s="17" t="s">
        <v>302</v>
      </c>
      <c r="E65" s="17">
        <v>95989895092</v>
      </c>
      <c r="F65" s="17" t="s">
        <v>259</v>
      </c>
      <c r="G65" s="17" t="s">
        <v>217</v>
      </c>
      <c r="H65" s="17">
        <v>1084.67</v>
      </c>
      <c r="I65" s="17">
        <v>13</v>
      </c>
      <c r="J65" s="17">
        <v>4140.1400000000003</v>
      </c>
      <c r="K65" s="17" t="s">
        <v>291</v>
      </c>
      <c r="L65" s="17">
        <f t="shared" si="0"/>
        <v>14100.710000000001</v>
      </c>
      <c r="M65" s="17" t="str">
        <f t="shared" si="1"/>
        <v>Medium</v>
      </c>
      <c r="N65" s="17">
        <f t="shared" si="2"/>
        <v>29.36</v>
      </c>
    </row>
    <row r="66" spans="1:14" x14ac:dyDescent="0.3">
      <c r="A66" s="17" t="s">
        <v>357</v>
      </c>
      <c r="B66" s="17" t="s">
        <v>295</v>
      </c>
      <c r="C66" s="17" t="s">
        <v>277</v>
      </c>
      <c r="D66" s="17" t="s">
        <v>316</v>
      </c>
      <c r="E66" s="17">
        <v>9499862542</v>
      </c>
      <c r="F66" s="17" t="s">
        <v>282</v>
      </c>
      <c r="G66" s="17" t="s">
        <v>329</v>
      </c>
      <c r="H66" s="17">
        <v>1893.55</v>
      </c>
      <c r="I66" s="17">
        <v>12</v>
      </c>
      <c r="J66" s="17">
        <v>3204.64</v>
      </c>
      <c r="K66" s="17" t="s">
        <v>284</v>
      </c>
      <c r="L66" s="17">
        <f t="shared" si="0"/>
        <v>22722.6</v>
      </c>
      <c r="M66" s="17" t="str">
        <f t="shared" si="1"/>
        <v>High</v>
      </c>
      <c r="N66" s="17">
        <f t="shared" si="2"/>
        <v>14.1</v>
      </c>
    </row>
    <row r="67" spans="1:14" x14ac:dyDescent="0.3">
      <c r="A67" s="17" t="s">
        <v>358</v>
      </c>
      <c r="B67" s="17" t="s">
        <v>307</v>
      </c>
      <c r="C67" s="17" t="s">
        <v>277</v>
      </c>
      <c r="D67" s="17" t="s">
        <v>302</v>
      </c>
      <c r="E67" s="17">
        <v>9724136290</v>
      </c>
      <c r="F67" s="17" t="s">
        <v>282</v>
      </c>
      <c r="G67" s="17" t="s">
        <v>298</v>
      </c>
      <c r="H67" s="17">
        <v>1747.22</v>
      </c>
      <c r="I67" s="17">
        <v>6</v>
      </c>
      <c r="J67" s="17">
        <v>2678.22</v>
      </c>
      <c r="K67" s="17" t="s">
        <v>291</v>
      </c>
      <c r="L67" s="17">
        <f t="shared" si="0"/>
        <v>10483.32</v>
      </c>
      <c r="M67" s="17" t="str">
        <f t="shared" si="1"/>
        <v>Medium</v>
      </c>
      <c r="N67" s="17">
        <f t="shared" si="2"/>
        <v>25.55</v>
      </c>
    </row>
    <row r="68" spans="1:14" x14ac:dyDescent="0.3">
      <c r="A68" s="17" t="s">
        <v>359</v>
      </c>
      <c r="B68" s="17" t="s">
        <v>295</v>
      </c>
      <c r="C68" s="17" t="s">
        <v>277</v>
      </c>
      <c r="D68" s="17" t="s">
        <v>302</v>
      </c>
      <c r="E68" s="17">
        <v>9321909198</v>
      </c>
      <c r="F68" s="17" t="s">
        <v>282</v>
      </c>
      <c r="G68" s="17" t="s">
        <v>233</v>
      </c>
      <c r="H68" s="17">
        <v>287.31</v>
      </c>
      <c r="I68" s="17">
        <v>8</v>
      </c>
      <c r="J68" s="17">
        <v>381.56</v>
      </c>
      <c r="K68" s="17" t="s">
        <v>314</v>
      </c>
      <c r="L68" s="17">
        <f t="shared" si="0"/>
        <v>2298.48</v>
      </c>
      <c r="M68" s="17" t="str">
        <f t="shared" si="1"/>
        <v>Low</v>
      </c>
      <c r="N68" s="17">
        <f t="shared" si="2"/>
        <v>16.600000000000001</v>
      </c>
    </row>
    <row r="69" spans="1:14" x14ac:dyDescent="0.3">
      <c r="A69" s="17" t="s">
        <v>360</v>
      </c>
      <c r="B69" s="17" t="s">
        <v>307</v>
      </c>
      <c r="C69" s="17" t="s">
        <v>277</v>
      </c>
      <c r="D69" s="17" t="s">
        <v>300</v>
      </c>
      <c r="E69" s="17">
        <v>9760693305</v>
      </c>
      <c r="F69" s="17" t="s">
        <v>279</v>
      </c>
      <c r="G69" s="17" t="s">
        <v>280</v>
      </c>
      <c r="H69" s="17">
        <v>1700.05</v>
      </c>
      <c r="I69" s="17">
        <v>2</v>
      </c>
      <c r="J69" s="17">
        <v>383.92</v>
      </c>
      <c r="K69" s="17" t="s">
        <v>261</v>
      </c>
      <c r="L69" s="17">
        <f t="shared" si="0"/>
        <v>3400.1</v>
      </c>
      <c r="M69" s="17" t="str">
        <f t="shared" si="1"/>
        <v>Low</v>
      </c>
      <c r="N69" s="17">
        <f t="shared" si="2"/>
        <v>11.29</v>
      </c>
    </row>
    <row r="70" spans="1:14" x14ac:dyDescent="0.3">
      <c r="A70" s="17" t="s">
        <v>361</v>
      </c>
      <c r="B70" s="17" t="s">
        <v>295</v>
      </c>
      <c r="C70" s="17" t="s">
        <v>277</v>
      </c>
      <c r="D70" s="17" t="s">
        <v>302</v>
      </c>
      <c r="E70" s="17">
        <v>9658575570</v>
      </c>
      <c r="F70" s="17" t="s">
        <v>282</v>
      </c>
      <c r="G70" s="17" t="s">
        <v>233</v>
      </c>
      <c r="H70" s="17">
        <v>1180.31</v>
      </c>
      <c r="I70" s="17">
        <v>7</v>
      </c>
      <c r="J70" s="17">
        <v>847.73</v>
      </c>
      <c r="K70" s="17" t="s">
        <v>261</v>
      </c>
      <c r="L70" s="17">
        <f t="shared" si="0"/>
        <v>8262.17</v>
      </c>
      <c r="M70" s="17" t="str">
        <f t="shared" si="1"/>
        <v>Low</v>
      </c>
      <c r="N70" s="17">
        <f t="shared" si="2"/>
        <v>10.26</v>
      </c>
    </row>
    <row r="71" spans="1:14" x14ac:dyDescent="0.3">
      <c r="A71" s="17" t="s">
        <v>362</v>
      </c>
      <c r="B71" s="17" t="s">
        <v>286</v>
      </c>
      <c r="C71" s="17" t="s">
        <v>277</v>
      </c>
      <c r="D71" s="17" t="s">
        <v>302</v>
      </c>
      <c r="E71" s="17">
        <v>9950273824</v>
      </c>
      <c r="F71" s="17" t="s">
        <v>282</v>
      </c>
      <c r="G71" s="17" t="s">
        <v>329</v>
      </c>
      <c r="H71" s="17">
        <v>653.35</v>
      </c>
      <c r="I71" s="17">
        <v>4</v>
      </c>
      <c r="J71" s="17">
        <v>345.46</v>
      </c>
      <c r="K71" s="17" t="s">
        <v>260</v>
      </c>
      <c r="L71" s="17">
        <f t="shared" si="0"/>
        <v>2613.4</v>
      </c>
      <c r="M71" s="17" t="str">
        <f t="shared" si="1"/>
        <v>Low</v>
      </c>
      <c r="N71" s="17">
        <f t="shared" si="2"/>
        <v>13.22</v>
      </c>
    </row>
    <row r="72" spans="1:14" x14ac:dyDescent="0.3">
      <c r="A72" s="17" t="s">
        <v>363</v>
      </c>
      <c r="B72" s="17" t="s">
        <v>286</v>
      </c>
      <c r="C72" s="17" t="s">
        <v>277</v>
      </c>
      <c r="D72" s="17" t="s">
        <v>296</v>
      </c>
      <c r="E72" s="17">
        <v>9898816813</v>
      </c>
      <c r="F72" s="17" t="s">
        <v>259</v>
      </c>
      <c r="G72" s="17" t="s">
        <v>211</v>
      </c>
      <c r="H72" s="17">
        <v>1881.74</v>
      </c>
      <c r="I72" s="17">
        <v>4</v>
      </c>
      <c r="J72" s="17">
        <v>1363.83</v>
      </c>
      <c r="K72" s="17" t="s">
        <v>314</v>
      </c>
      <c r="L72" s="17">
        <f t="shared" si="0"/>
        <v>7526.96</v>
      </c>
      <c r="M72" s="17" t="str">
        <f t="shared" si="1"/>
        <v>Low</v>
      </c>
      <c r="N72" s="17">
        <f t="shared" si="2"/>
        <v>18.12</v>
      </c>
    </row>
    <row r="73" spans="1:14" x14ac:dyDescent="0.3">
      <c r="A73" s="17" t="s">
        <v>364</v>
      </c>
      <c r="B73" s="17" t="s">
        <v>307</v>
      </c>
      <c r="C73" s="17" t="s">
        <v>277</v>
      </c>
      <c r="D73" s="17" t="s">
        <v>304</v>
      </c>
      <c r="E73" s="17">
        <v>9571594565</v>
      </c>
      <c r="F73" s="17" t="s">
        <v>282</v>
      </c>
      <c r="G73" s="17" t="s">
        <v>283</v>
      </c>
      <c r="H73" s="17">
        <v>1206.3499999999999</v>
      </c>
      <c r="I73" s="17">
        <v>15</v>
      </c>
      <c r="J73" s="17">
        <v>2801.82</v>
      </c>
      <c r="K73" s="17" t="s">
        <v>261</v>
      </c>
      <c r="L73" s="17">
        <f t="shared" si="0"/>
        <v>18095.25</v>
      </c>
      <c r="M73" s="17" t="str">
        <f t="shared" si="1"/>
        <v>Medium</v>
      </c>
      <c r="N73" s="17">
        <f t="shared" si="2"/>
        <v>15.48</v>
      </c>
    </row>
    <row r="74" spans="1:14" x14ac:dyDescent="0.3">
      <c r="A74" s="17" t="s">
        <v>365</v>
      </c>
      <c r="B74" s="17" t="s">
        <v>286</v>
      </c>
      <c r="C74" s="17" t="s">
        <v>277</v>
      </c>
      <c r="D74" s="17" t="s">
        <v>300</v>
      </c>
      <c r="E74" s="17">
        <v>9684352160</v>
      </c>
      <c r="F74" s="17" t="s">
        <v>279</v>
      </c>
      <c r="G74" s="17" t="s">
        <v>313</v>
      </c>
      <c r="H74" s="17">
        <v>1849.95</v>
      </c>
      <c r="I74" s="17">
        <v>5</v>
      </c>
      <c r="J74" s="17">
        <v>2111.02</v>
      </c>
      <c r="K74" s="17" t="s">
        <v>314</v>
      </c>
      <c r="L74" s="17">
        <f t="shared" ref="L74:L108" si="3">H74*I74</f>
        <v>9249.75</v>
      </c>
      <c r="M74" s="17" t="str">
        <f t="shared" ref="M74:M108" si="4">IF(L74&gt;20000,"High",IF(L74&gt;=10000,"Medium","Low"))</f>
        <v>Low</v>
      </c>
      <c r="N74" s="17">
        <f t="shared" ref="N74:N108" si="5">ROUND((J74/L74)*100,2)</f>
        <v>22.82</v>
      </c>
    </row>
    <row r="75" spans="1:14" x14ac:dyDescent="0.3">
      <c r="A75" s="17" t="s">
        <v>366</v>
      </c>
      <c r="B75" s="17" t="s">
        <v>276</v>
      </c>
      <c r="C75" s="17" t="s">
        <v>277</v>
      </c>
      <c r="D75" s="17" t="s">
        <v>287</v>
      </c>
      <c r="E75" s="17">
        <v>9845713875</v>
      </c>
      <c r="F75" s="17" t="s">
        <v>259</v>
      </c>
      <c r="G75" s="17" t="s">
        <v>231</v>
      </c>
      <c r="H75" s="17">
        <v>1896.1</v>
      </c>
      <c r="I75" s="17">
        <v>5</v>
      </c>
      <c r="J75" s="17">
        <v>2676.46</v>
      </c>
      <c r="K75" s="17" t="s">
        <v>314</v>
      </c>
      <c r="L75" s="17">
        <f t="shared" si="3"/>
        <v>9480.5</v>
      </c>
      <c r="M75" s="17" t="str">
        <f t="shared" si="4"/>
        <v>Low</v>
      </c>
      <c r="N75" s="17">
        <f t="shared" si="5"/>
        <v>28.23</v>
      </c>
    </row>
    <row r="76" spans="1:14" x14ac:dyDescent="0.3">
      <c r="A76" s="17" t="s">
        <v>367</v>
      </c>
      <c r="B76" s="17" t="s">
        <v>286</v>
      </c>
      <c r="C76" s="17" t="s">
        <v>277</v>
      </c>
      <c r="D76" s="17" t="s">
        <v>296</v>
      </c>
      <c r="E76" s="17">
        <v>85</v>
      </c>
      <c r="F76" s="17" t="s">
        <v>282</v>
      </c>
      <c r="G76" s="17" t="s">
        <v>233</v>
      </c>
      <c r="H76" s="17">
        <v>1799.6</v>
      </c>
      <c r="I76" s="17">
        <v>6</v>
      </c>
      <c r="J76" s="17">
        <v>1551.79</v>
      </c>
      <c r="K76" s="17" t="s">
        <v>291</v>
      </c>
      <c r="L76" s="17">
        <f t="shared" si="3"/>
        <v>10797.599999999999</v>
      </c>
      <c r="M76" s="17" t="str">
        <f t="shared" si="4"/>
        <v>Medium</v>
      </c>
      <c r="N76" s="17">
        <f t="shared" si="5"/>
        <v>14.37</v>
      </c>
    </row>
    <row r="77" spans="1:14" x14ac:dyDescent="0.3">
      <c r="A77" s="17" t="s">
        <v>368</v>
      </c>
      <c r="B77" s="17" t="s">
        <v>307</v>
      </c>
      <c r="C77" s="17" t="s">
        <v>277</v>
      </c>
      <c r="D77" s="17" t="s">
        <v>278</v>
      </c>
      <c r="E77" s="17">
        <v>9304184751</v>
      </c>
      <c r="F77" s="17" t="s">
        <v>282</v>
      </c>
      <c r="G77" s="17" t="s">
        <v>329</v>
      </c>
      <c r="H77" s="17">
        <v>1330.26</v>
      </c>
      <c r="I77" s="17">
        <v>2</v>
      </c>
      <c r="J77" s="17">
        <v>669.54</v>
      </c>
      <c r="K77" s="17" t="s">
        <v>260</v>
      </c>
      <c r="L77" s="17">
        <f t="shared" si="3"/>
        <v>2660.52</v>
      </c>
      <c r="M77" s="17" t="str">
        <f t="shared" si="4"/>
        <v>Low</v>
      </c>
      <c r="N77" s="17">
        <f t="shared" si="5"/>
        <v>25.17</v>
      </c>
    </row>
    <row r="78" spans="1:14" x14ac:dyDescent="0.3">
      <c r="A78" s="17" t="s">
        <v>369</v>
      </c>
      <c r="B78" s="17" t="s">
        <v>307</v>
      </c>
      <c r="C78" s="17" t="s">
        <v>277</v>
      </c>
      <c r="D78" s="17" t="s">
        <v>304</v>
      </c>
      <c r="E78" s="17">
        <v>9141039856</v>
      </c>
      <c r="F78" s="17" t="s">
        <v>259</v>
      </c>
      <c r="G78" s="17" t="s">
        <v>214</v>
      </c>
      <c r="H78" s="17">
        <v>322.57</v>
      </c>
      <c r="I78" s="17">
        <v>13</v>
      </c>
      <c r="J78" s="17">
        <v>684.45</v>
      </c>
      <c r="K78" s="17" t="s">
        <v>314</v>
      </c>
      <c r="L78" s="17">
        <f t="shared" si="3"/>
        <v>4193.41</v>
      </c>
      <c r="M78" s="17" t="str">
        <f t="shared" si="4"/>
        <v>Low</v>
      </c>
      <c r="N78" s="17">
        <f t="shared" si="5"/>
        <v>16.32</v>
      </c>
    </row>
    <row r="79" spans="1:14" x14ac:dyDescent="0.3">
      <c r="A79" s="17" t="s">
        <v>370</v>
      </c>
      <c r="B79" s="17" t="s">
        <v>295</v>
      </c>
      <c r="C79" s="17" t="s">
        <v>277</v>
      </c>
      <c r="D79" s="17" t="s">
        <v>296</v>
      </c>
      <c r="E79" s="17">
        <v>9640589740</v>
      </c>
      <c r="F79" s="17" t="s">
        <v>259</v>
      </c>
      <c r="G79" s="17" t="s">
        <v>231</v>
      </c>
      <c r="H79" s="17">
        <v>1510.41</v>
      </c>
      <c r="I79" s="17">
        <v>1</v>
      </c>
      <c r="J79" s="17">
        <v>434.79</v>
      </c>
      <c r="K79" s="17" t="s">
        <v>284</v>
      </c>
      <c r="L79" s="17">
        <f t="shared" si="3"/>
        <v>1510.41</v>
      </c>
      <c r="M79" s="17" t="str">
        <f t="shared" si="4"/>
        <v>Low</v>
      </c>
      <c r="N79" s="17">
        <f t="shared" si="5"/>
        <v>28.79</v>
      </c>
    </row>
    <row r="80" spans="1:14" x14ac:dyDescent="0.3">
      <c r="A80" s="17" t="s">
        <v>371</v>
      </c>
      <c r="B80" s="17" t="s">
        <v>286</v>
      </c>
      <c r="C80" s="17" t="s">
        <v>277</v>
      </c>
      <c r="D80" s="17" t="s">
        <v>278</v>
      </c>
      <c r="E80" s="17">
        <v>9406517796</v>
      </c>
      <c r="F80" s="17" t="s">
        <v>279</v>
      </c>
      <c r="G80" s="17" t="s">
        <v>213</v>
      </c>
      <c r="H80" s="17">
        <v>1085.52</v>
      </c>
      <c r="I80" s="17">
        <v>4</v>
      </c>
      <c r="J80" s="17">
        <v>749.57</v>
      </c>
      <c r="K80" s="17" t="s">
        <v>260</v>
      </c>
      <c r="L80" s="17">
        <f t="shared" si="3"/>
        <v>4342.08</v>
      </c>
      <c r="M80" s="17" t="str">
        <f t="shared" si="4"/>
        <v>Low</v>
      </c>
      <c r="N80" s="17">
        <f t="shared" si="5"/>
        <v>17.260000000000002</v>
      </c>
    </row>
    <row r="81" spans="1:14" x14ac:dyDescent="0.3">
      <c r="A81" s="17" t="s">
        <v>372</v>
      </c>
      <c r="B81" s="17" t="s">
        <v>286</v>
      </c>
      <c r="C81" s="17" t="s">
        <v>277</v>
      </c>
      <c r="D81" s="17" t="s">
        <v>300</v>
      </c>
      <c r="E81" s="17">
        <v>9606169051</v>
      </c>
      <c r="F81" s="17" t="s">
        <v>282</v>
      </c>
      <c r="G81" s="17" t="s">
        <v>283</v>
      </c>
      <c r="H81" s="17">
        <v>1441.79</v>
      </c>
      <c r="I81" s="17">
        <v>14</v>
      </c>
      <c r="J81" s="17">
        <v>3929.03</v>
      </c>
      <c r="K81" s="17" t="s">
        <v>314</v>
      </c>
      <c r="L81" s="17">
        <f t="shared" si="3"/>
        <v>20185.059999999998</v>
      </c>
      <c r="M81" s="17" t="str">
        <f t="shared" si="4"/>
        <v>High</v>
      </c>
      <c r="N81" s="17">
        <f t="shared" si="5"/>
        <v>19.47</v>
      </c>
    </row>
    <row r="82" spans="1:14" x14ac:dyDescent="0.3">
      <c r="A82" s="17" t="s">
        <v>373</v>
      </c>
      <c r="B82" s="17" t="s">
        <v>307</v>
      </c>
      <c r="C82" s="17" t="s">
        <v>277</v>
      </c>
      <c r="D82" s="17" t="s">
        <v>304</v>
      </c>
      <c r="E82" s="17">
        <v>9350461925</v>
      </c>
      <c r="F82" s="17" t="s">
        <v>282</v>
      </c>
      <c r="G82" s="17" t="s">
        <v>329</v>
      </c>
      <c r="H82" s="17">
        <v>686.64</v>
      </c>
      <c r="I82" s="17">
        <v>8</v>
      </c>
      <c r="J82" s="17">
        <v>878.07</v>
      </c>
      <c r="K82" s="17" t="s">
        <v>260</v>
      </c>
      <c r="L82" s="17">
        <f t="shared" si="3"/>
        <v>5493.12</v>
      </c>
      <c r="M82" s="17" t="str">
        <f t="shared" si="4"/>
        <v>Low</v>
      </c>
      <c r="N82" s="17">
        <f t="shared" si="5"/>
        <v>15.98</v>
      </c>
    </row>
    <row r="83" spans="1:14" x14ac:dyDescent="0.3">
      <c r="A83" s="17" t="s">
        <v>374</v>
      </c>
      <c r="B83" s="17" t="s">
        <v>276</v>
      </c>
      <c r="C83" s="17" t="s">
        <v>277</v>
      </c>
      <c r="D83" s="17" t="s">
        <v>287</v>
      </c>
      <c r="E83" s="17">
        <v>9996467468</v>
      </c>
      <c r="F83" s="17" t="s">
        <v>279</v>
      </c>
      <c r="G83" s="17" t="s">
        <v>213</v>
      </c>
      <c r="H83" s="17">
        <v>2830.64</v>
      </c>
      <c r="I83" s="17">
        <v>6</v>
      </c>
      <c r="J83" s="17">
        <v>1830.75</v>
      </c>
      <c r="K83" s="17" t="s">
        <v>260</v>
      </c>
      <c r="L83" s="17">
        <f t="shared" si="3"/>
        <v>16983.84</v>
      </c>
      <c r="M83" s="17" t="str">
        <f t="shared" si="4"/>
        <v>Medium</v>
      </c>
      <c r="N83" s="17">
        <f t="shared" si="5"/>
        <v>10.78</v>
      </c>
    </row>
    <row r="84" spans="1:14" x14ac:dyDescent="0.3">
      <c r="A84" s="17" t="s">
        <v>375</v>
      </c>
      <c r="B84" s="17" t="s">
        <v>276</v>
      </c>
      <c r="C84" s="17" t="s">
        <v>277</v>
      </c>
      <c r="D84" s="17" t="s">
        <v>304</v>
      </c>
      <c r="E84" s="17">
        <v>9128345710</v>
      </c>
      <c r="F84" s="17" t="s">
        <v>259</v>
      </c>
      <c r="G84" s="17" t="s">
        <v>217</v>
      </c>
      <c r="H84" s="17">
        <v>2619.08</v>
      </c>
      <c r="I84" s="17">
        <v>6</v>
      </c>
      <c r="J84" s="17">
        <v>4245.2299999999996</v>
      </c>
      <c r="K84" s="17" t="s">
        <v>284</v>
      </c>
      <c r="L84" s="17">
        <f t="shared" si="3"/>
        <v>15714.48</v>
      </c>
      <c r="M84" s="17" t="str">
        <f t="shared" si="4"/>
        <v>Medium</v>
      </c>
      <c r="N84" s="17">
        <f t="shared" si="5"/>
        <v>27.01</v>
      </c>
    </row>
    <row r="85" spans="1:14" x14ac:dyDescent="0.3">
      <c r="A85" s="17" t="s">
        <v>376</v>
      </c>
      <c r="B85" s="17" t="s">
        <v>295</v>
      </c>
      <c r="C85" s="17" t="s">
        <v>277</v>
      </c>
      <c r="D85" s="17" t="s">
        <v>302</v>
      </c>
      <c r="E85" s="17">
        <v>9392055351</v>
      </c>
      <c r="F85" s="17" t="s">
        <v>279</v>
      </c>
      <c r="G85" s="17" t="s">
        <v>210</v>
      </c>
      <c r="H85" s="17">
        <v>503.93</v>
      </c>
      <c r="I85" s="17">
        <v>11</v>
      </c>
      <c r="J85" s="17">
        <v>1183.48</v>
      </c>
      <c r="K85" s="17" t="s">
        <v>291</v>
      </c>
      <c r="L85" s="17">
        <f t="shared" si="3"/>
        <v>5543.2300000000005</v>
      </c>
      <c r="M85" s="17" t="str">
        <f t="shared" si="4"/>
        <v>Low</v>
      </c>
      <c r="N85" s="17">
        <f t="shared" si="5"/>
        <v>21.35</v>
      </c>
    </row>
    <row r="86" spans="1:14" x14ac:dyDescent="0.3">
      <c r="A86" s="17" t="s">
        <v>377</v>
      </c>
      <c r="B86" s="17" t="s">
        <v>286</v>
      </c>
      <c r="C86" s="17" t="s">
        <v>277</v>
      </c>
      <c r="D86" s="17" t="s">
        <v>296</v>
      </c>
      <c r="E86" s="17">
        <v>9980141994</v>
      </c>
      <c r="F86" s="17" t="s">
        <v>282</v>
      </c>
      <c r="G86" s="17" t="s">
        <v>233</v>
      </c>
      <c r="H86" s="17">
        <v>467.71</v>
      </c>
      <c r="I86" s="17">
        <v>12</v>
      </c>
      <c r="J86" s="17">
        <v>1223.23</v>
      </c>
      <c r="K86" s="17" t="s">
        <v>260</v>
      </c>
      <c r="L86" s="17">
        <f t="shared" si="3"/>
        <v>5612.5199999999995</v>
      </c>
      <c r="M86" s="17" t="str">
        <f t="shared" si="4"/>
        <v>Low</v>
      </c>
      <c r="N86" s="17">
        <f t="shared" si="5"/>
        <v>21.79</v>
      </c>
    </row>
    <row r="87" spans="1:14" x14ac:dyDescent="0.3">
      <c r="A87" s="17" t="s">
        <v>378</v>
      </c>
      <c r="B87" s="17" t="s">
        <v>276</v>
      </c>
      <c r="C87" s="17" t="s">
        <v>277</v>
      </c>
      <c r="D87" s="17" t="s">
        <v>300</v>
      </c>
      <c r="E87" s="17">
        <v>9403999543</v>
      </c>
      <c r="F87" s="17" t="s">
        <v>282</v>
      </c>
      <c r="G87" s="17" t="s">
        <v>298</v>
      </c>
      <c r="H87" s="17">
        <v>2307.34</v>
      </c>
      <c r="I87" s="17">
        <v>14</v>
      </c>
      <c r="J87" s="17">
        <v>3571.15</v>
      </c>
      <c r="K87" s="17" t="s">
        <v>314</v>
      </c>
      <c r="L87" s="17">
        <f t="shared" si="3"/>
        <v>32302.760000000002</v>
      </c>
      <c r="M87" s="17" t="str">
        <f t="shared" si="4"/>
        <v>High</v>
      </c>
      <c r="N87" s="17">
        <f t="shared" si="5"/>
        <v>11.06</v>
      </c>
    </row>
    <row r="88" spans="1:14" x14ac:dyDescent="0.3">
      <c r="A88" s="17" t="s">
        <v>379</v>
      </c>
      <c r="B88" s="17" t="s">
        <v>307</v>
      </c>
      <c r="C88" s="17" t="s">
        <v>277</v>
      </c>
      <c r="D88" s="17" t="s">
        <v>316</v>
      </c>
      <c r="E88" s="17">
        <v>9164427200</v>
      </c>
      <c r="F88" s="17" t="s">
        <v>259</v>
      </c>
      <c r="G88" s="17" t="s">
        <v>231</v>
      </c>
      <c r="H88" s="17">
        <v>1513.57</v>
      </c>
      <c r="I88" s="17">
        <v>14</v>
      </c>
      <c r="J88" s="17">
        <v>5761.18</v>
      </c>
      <c r="K88" s="17" t="s">
        <v>260</v>
      </c>
      <c r="L88" s="17">
        <f t="shared" si="3"/>
        <v>21189.98</v>
      </c>
      <c r="M88" s="17" t="str">
        <f t="shared" si="4"/>
        <v>High</v>
      </c>
      <c r="N88" s="17">
        <f t="shared" si="5"/>
        <v>27.19</v>
      </c>
    </row>
    <row r="89" spans="1:14" x14ac:dyDescent="0.3">
      <c r="A89" s="17" t="s">
        <v>380</v>
      </c>
      <c r="B89" s="17" t="s">
        <v>307</v>
      </c>
      <c r="C89" s="17" t="s">
        <v>277</v>
      </c>
      <c r="D89" s="17" t="s">
        <v>300</v>
      </c>
      <c r="E89" s="17">
        <v>858947</v>
      </c>
      <c r="F89" s="17" t="s">
        <v>282</v>
      </c>
      <c r="G89" s="17" t="s">
        <v>329</v>
      </c>
      <c r="H89" s="17">
        <v>2213.4499999999998</v>
      </c>
      <c r="I89" s="17">
        <v>3</v>
      </c>
      <c r="J89" s="17">
        <v>867.33</v>
      </c>
      <c r="K89" s="17" t="s">
        <v>314</v>
      </c>
      <c r="L89" s="17">
        <f t="shared" si="3"/>
        <v>6640.3499999999995</v>
      </c>
      <c r="M89" s="17" t="str">
        <f t="shared" si="4"/>
        <v>Low</v>
      </c>
      <c r="N89" s="17">
        <f t="shared" si="5"/>
        <v>13.06</v>
      </c>
    </row>
    <row r="90" spans="1:14" x14ac:dyDescent="0.3">
      <c r="A90" s="17" t="s">
        <v>381</v>
      </c>
      <c r="B90" s="17" t="s">
        <v>286</v>
      </c>
      <c r="C90" s="17" t="s">
        <v>277</v>
      </c>
      <c r="D90" s="17" t="s">
        <v>296</v>
      </c>
      <c r="E90" s="17">
        <v>9789825611</v>
      </c>
      <c r="F90" s="17" t="s">
        <v>279</v>
      </c>
      <c r="G90" s="17" t="s">
        <v>213</v>
      </c>
      <c r="H90" s="17">
        <v>384.21</v>
      </c>
      <c r="I90" s="17">
        <v>5</v>
      </c>
      <c r="J90" s="17">
        <v>354.16</v>
      </c>
      <c r="K90" s="17" t="s">
        <v>314</v>
      </c>
      <c r="L90" s="17">
        <f t="shared" si="3"/>
        <v>1921.05</v>
      </c>
      <c r="M90" s="17" t="str">
        <f t="shared" si="4"/>
        <v>Low</v>
      </c>
      <c r="N90" s="17">
        <f t="shared" si="5"/>
        <v>18.440000000000001</v>
      </c>
    </row>
    <row r="91" spans="1:14" x14ac:dyDescent="0.3">
      <c r="A91" s="17" t="s">
        <v>382</v>
      </c>
      <c r="B91" s="17" t="s">
        <v>295</v>
      </c>
      <c r="C91" s="17" t="s">
        <v>277</v>
      </c>
      <c r="D91" s="17" t="s">
        <v>300</v>
      </c>
      <c r="E91" s="17">
        <v>9371462183</v>
      </c>
      <c r="F91" s="17" t="s">
        <v>259</v>
      </c>
      <c r="G91" s="17" t="s">
        <v>217</v>
      </c>
      <c r="H91" s="17">
        <v>498.41</v>
      </c>
      <c r="I91" s="17">
        <v>7</v>
      </c>
      <c r="J91" s="17">
        <v>435.36</v>
      </c>
      <c r="K91" s="17" t="s">
        <v>261</v>
      </c>
      <c r="L91" s="17">
        <f t="shared" si="3"/>
        <v>3488.8700000000003</v>
      </c>
      <c r="M91" s="17" t="str">
        <f t="shared" si="4"/>
        <v>Low</v>
      </c>
      <c r="N91" s="17">
        <f t="shared" si="5"/>
        <v>12.48</v>
      </c>
    </row>
    <row r="92" spans="1:14" x14ac:dyDescent="0.3">
      <c r="A92" s="17" t="s">
        <v>383</v>
      </c>
      <c r="B92" s="17" t="s">
        <v>307</v>
      </c>
      <c r="C92" s="17" t="s">
        <v>277</v>
      </c>
      <c r="D92" s="17" t="s">
        <v>300</v>
      </c>
      <c r="E92" s="17">
        <v>9444893207</v>
      </c>
      <c r="F92" s="17" t="s">
        <v>279</v>
      </c>
      <c r="G92" s="17" t="s">
        <v>213</v>
      </c>
      <c r="H92" s="17">
        <v>1599.24</v>
      </c>
      <c r="I92" s="17">
        <v>10</v>
      </c>
      <c r="J92" s="17">
        <v>4368.75</v>
      </c>
      <c r="K92" s="17" t="s">
        <v>261</v>
      </c>
      <c r="L92" s="17">
        <f t="shared" si="3"/>
        <v>15992.4</v>
      </c>
      <c r="M92" s="17" t="str">
        <f t="shared" si="4"/>
        <v>Medium</v>
      </c>
      <c r="N92" s="17">
        <f t="shared" si="5"/>
        <v>27.32</v>
      </c>
    </row>
    <row r="93" spans="1:14" x14ac:dyDescent="0.3">
      <c r="A93" s="17" t="s">
        <v>384</v>
      </c>
      <c r="B93" s="17" t="s">
        <v>276</v>
      </c>
      <c r="C93" s="17" t="s">
        <v>277</v>
      </c>
      <c r="D93" s="17" t="s">
        <v>304</v>
      </c>
      <c r="E93" s="17">
        <v>9339358166</v>
      </c>
      <c r="F93" s="17" t="s">
        <v>282</v>
      </c>
      <c r="G93" s="17" t="s">
        <v>290</v>
      </c>
      <c r="H93" s="17">
        <v>962.07</v>
      </c>
      <c r="I93" s="17">
        <v>9</v>
      </c>
      <c r="J93" s="17">
        <v>905.89</v>
      </c>
      <c r="K93" s="17" t="s">
        <v>261</v>
      </c>
      <c r="L93" s="17">
        <f t="shared" si="3"/>
        <v>8658.630000000001</v>
      </c>
      <c r="M93" s="17" t="str">
        <f t="shared" si="4"/>
        <v>Low</v>
      </c>
      <c r="N93" s="17">
        <f t="shared" si="5"/>
        <v>10.46</v>
      </c>
    </row>
    <row r="94" spans="1:14" x14ac:dyDescent="0.3">
      <c r="A94" s="17" t="s">
        <v>385</v>
      </c>
      <c r="B94" s="17" t="s">
        <v>276</v>
      </c>
      <c r="C94" s="17" t="s">
        <v>277</v>
      </c>
      <c r="D94" s="17" t="s">
        <v>287</v>
      </c>
      <c r="E94" s="17">
        <v>9119201960</v>
      </c>
      <c r="F94" s="17" t="s">
        <v>282</v>
      </c>
      <c r="G94" s="17" t="s">
        <v>233</v>
      </c>
      <c r="H94" s="17">
        <v>1673.22</v>
      </c>
      <c r="I94" s="17">
        <v>7</v>
      </c>
      <c r="J94" s="17">
        <v>1935.04</v>
      </c>
      <c r="K94" s="17" t="s">
        <v>314</v>
      </c>
      <c r="L94" s="17">
        <f t="shared" si="3"/>
        <v>11712.54</v>
      </c>
      <c r="M94" s="17" t="str">
        <f t="shared" si="4"/>
        <v>Medium</v>
      </c>
      <c r="N94" s="17">
        <f t="shared" si="5"/>
        <v>16.52</v>
      </c>
    </row>
    <row r="95" spans="1:14" x14ac:dyDescent="0.3">
      <c r="A95" s="17" t="s">
        <v>386</v>
      </c>
      <c r="B95" s="17" t="s">
        <v>276</v>
      </c>
      <c r="C95" s="17" t="s">
        <v>277</v>
      </c>
      <c r="D95" s="17" t="s">
        <v>296</v>
      </c>
      <c r="E95" s="17">
        <v>9161700373</v>
      </c>
      <c r="F95" s="17" t="s">
        <v>279</v>
      </c>
      <c r="G95" s="17" t="s">
        <v>288</v>
      </c>
      <c r="H95" s="17">
        <v>791.24</v>
      </c>
      <c r="I95" s="17">
        <v>4</v>
      </c>
      <c r="J95" s="17">
        <v>366.17</v>
      </c>
      <c r="K95" s="17" t="s">
        <v>261</v>
      </c>
      <c r="L95" s="17">
        <f t="shared" si="3"/>
        <v>3164.96</v>
      </c>
      <c r="M95" s="17" t="str">
        <f t="shared" si="4"/>
        <v>Low</v>
      </c>
      <c r="N95" s="17">
        <f t="shared" si="5"/>
        <v>11.57</v>
      </c>
    </row>
    <row r="96" spans="1:14" x14ac:dyDescent="0.3">
      <c r="A96" s="17" t="s">
        <v>387</v>
      </c>
      <c r="B96" s="17" t="s">
        <v>286</v>
      </c>
      <c r="C96" s="17" t="s">
        <v>277</v>
      </c>
      <c r="D96" s="17" t="s">
        <v>316</v>
      </c>
      <c r="E96" s="17">
        <v>9242580997</v>
      </c>
      <c r="F96" s="17" t="s">
        <v>279</v>
      </c>
      <c r="G96" s="17" t="s">
        <v>210</v>
      </c>
      <c r="H96" s="17">
        <v>1210.8599999999999</v>
      </c>
      <c r="I96" s="17">
        <v>3</v>
      </c>
      <c r="J96" s="17">
        <v>698.75</v>
      </c>
      <c r="K96" s="17" t="s">
        <v>261</v>
      </c>
      <c r="L96" s="17">
        <f t="shared" si="3"/>
        <v>3632.58</v>
      </c>
      <c r="M96" s="17" t="str">
        <f t="shared" si="4"/>
        <v>Low</v>
      </c>
      <c r="N96" s="17">
        <f t="shared" si="5"/>
        <v>19.239999999999998</v>
      </c>
    </row>
    <row r="97" spans="1:14" x14ac:dyDescent="0.3">
      <c r="A97" s="17" t="s">
        <v>388</v>
      </c>
      <c r="B97" s="17" t="s">
        <v>307</v>
      </c>
      <c r="C97" s="17" t="s">
        <v>277</v>
      </c>
      <c r="D97" s="17" t="s">
        <v>302</v>
      </c>
      <c r="E97" s="17">
        <v>9370714466</v>
      </c>
      <c r="F97" s="17" t="s">
        <v>279</v>
      </c>
      <c r="G97" s="17" t="s">
        <v>288</v>
      </c>
      <c r="H97" s="17">
        <v>619.57000000000005</v>
      </c>
      <c r="I97" s="17">
        <v>7</v>
      </c>
      <c r="J97" s="17">
        <v>562.75</v>
      </c>
      <c r="K97" s="17" t="s">
        <v>261</v>
      </c>
      <c r="L97" s="17">
        <f t="shared" si="3"/>
        <v>4336.9900000000007</v>
      </c>
      <c r="M97" s="17" t="str">
        <f t="shared" si="4"/>
        <v>Low</v>
      </c>
      <c r="N97" s="17">
        <f t="shared" si="5"/>
        <v>12.98</v>
      </c>
    </row>
    <row r="98" spans="1:14" x14ac:dyDescent="0.3">
      <c r="A98" s="17" t="s">
        <v>389</v>
      </c>
      <c r="B98" s="17" t="s">
        <v>276</v>
      </c>
      <c r="C98" s="17" t="s">
        <v>277</v>
      </c>
      <c r="D98" s="17" t="s">
        <v>300</v>
      </c>
      <c r="E98" s="17">
        <v>9427647839</v>
      </c>
      <c r="F98" s="17" t="s">
        <v>259</v>
      </c>
      <c r="G98" s="17" t="s">
        <v>311</v>
      </c>
      <c r="H98" s="17">
        <v>308.5</v>
      </c>
      <c r="I98" s="17">
        <v>15</v>
      </c>
      <c r="J98" s="17">
        <v>802.96</v>
      </c>
      <c r="K98" s="17" t="s">
        <v>260</v>
      </c>
      <c r="L98" s="17">
        <f t="shared" si="3"/>
        <v>4627.5</v>
      </c>
      <c r="M98" s="17" t="str">
        <f t="shared" si="4"/>
        <v>Low</v>
      </c>
      <c r="N98" s="17">
        <f t="shared" si="5"/>
        <v>17.350000000000001</v>
      </c>
    </row>
    <row r="99" spans="1:14" x14ac:dyDescent="0.3">
      <c r="A99" s="17" t="s">
        <v>390</v>
      </c>
      <c r="B99" s="17" t="s">
        <v>295</v>
      </c>
      <c r="C99" s="17" t="s">
        <v>277</v>
      </c>
      <c r="D99" s="17" t="s">
        <v>300</v>
      </c>
      <c r="E99" s="17">
        <v>9942075195</v>
      </c>
      <c r="F99" s="17" t="s">
        <v>279</v>
      </c>
      <c r="G99" s="17" t="s">
        <v>213</v>
      </c>
      <c r="H99" s="17">
        <v>1853.37</v>
      </c>
      <c r="I99" s="17">
        <v>5</v>
      </c>
      <c r="J99" s="17">
        <v>1661.2</v>
      </c>
      <c r="K99" s="17" t="s">
        <v>260</v>
      </c>
      <c r="L99" s="17">
        <f t="shared" si="3"/>
        <v>9266.8499999999985</v>
      </c>
      <c r="M99" s="17" t="str">
        <f t="shared" si="4"/>
        <v>Low</v>
      </c>
      <c r="N99" s="17">
        <f t="shared" si="5"/>
        <v>17.93</v>
      </c>
    </row>
    <row r="100" spans="1:14" x14ac:dyDescent="0.3">
      <c r="A100" s="17" t="s">
        <v>391</v>
      </c>
      <c r="B100" s="17" t="s">
        <v>286</v>
      </c>
      <c r="C100" s="17" t="s">
        <v>277</v>
      </c>
      <c r="D100" s="17" t="s">
        <v>304</v>
      </c>
      <c r="E100" s="17">
        <v>9857569233</v>
      </c>
      <c r="F100" s="17" t="s">
        <v>279</v>
      </c>
      <c r="G100" s="17" t="s">
        <v>313</v>
      </c>
      <c r="H100" s="17">
        <v>2501.48</v>
      </c>
      <c r="I100" s="17">
        <v>6</v>
      </c>
      <c r="J100" s="17">
        <v>4142.5200000000004</v>
      </c>
      <c r="K100" s="17" t="s">
        <v>284</v>
      </c>
      <c r="L100" s="17">
        <f t="shared" si="3"/>
        <v>15008.880000000001</v>
      </c>
      <c r="M100" s="17" t="str">
        <f t="shared" si="4"/>
        <v>Medium</v>
      </c>
      <c r="N100" s="17">
        <f t="shared" si="5"/>
        <v>27.6</v>
      </c>
    </row>
    <row r="101" spans="1:14" x14ac:dyDescent="0.3">
      <c r="A101" s="17" t="s">
        <v>392</v>
      </c>
      <c r="B101" s="17" t="s">
        <v>286</v>
      </c>
      <c r="C101" s="17" t="s">
        <v>277</v>
      </c>
      <c r="D101" s="17" t="s">
        <v>278</v>
      </c>
      <c r="E101" s="17">
        <v>9944969047</v>
      </c>
      <c r="F101" s="17" t="s">
        <v>259</v>
      </c>
      <c r="G101" s="17" t="s">
        <v>211</v>
      </c>
      <c r="H101" s="17">
        <v>2596.13</v>
      </c>
      <c r="I101" s="17">
        <v>5</v>
      </c>
      <c r="J101" s="17">
        <v>1453.33</v>
      </c>
      <c r="K101" s="17" t="s">
        <v>284</v>
      </c>
      <c r="L101" s="17">
        <f t="shared" si="3"/>
        <v>12980.650000000001</v>
      </c>
      <c r="M101" s="17" t="str">
        <f t="shared" si="4"/>
        <v>Medium</v>
      </c>
      <c r="N101" s="17">
        <f t="shared" si="5"/>
        <v>11.2</v>
      </c>
    </row>
    <row r="102" spans="1:14" x14ac:dyDescent="0.3">
      <c r="A102" s="17" t="s">
        <v>393</v>
      </c>
      <c r="B102" s="17" t="s">
        <v>276</v>
      </c>
      <c r="C102" s="17" t="s">
        <v>277</v>
      </c>
      <c r="D102" s="17" t="s">
        <v>287</v>
      </c>
      <c r="E102" s="17">
        <v>56428436</v>
      </c>
      <c r="F102" s="17" t="s">
        <v>259</v>
      </c>
      <c r="G102" s="17" t="s">
        <v>217</v>
      </c>
      <c r="H102" s="17">
        <v>2209.52</v>
      </c>
      <c r="I102" s="17">
        <v>6</v>
      </c>
      <c r="J102" s="17">
        <v>3760.49</v>
      </c>
      <c r="K102" s="17" t="s">
        <v>284</v>
      </c>
      <c r="L102" s="17">
        <f t="shared" si="3"/>
        <v>13257.119999999999</v>
      </c>
      <c r="M102" s="17" t="str">
        <f t="shared" si="4"/>
        <v>Medium</v>
      </c>
      <c r="N102" s="17">
        <f t="shared" si="5"/>
        <v>28.37</v>
      </c>
    </row>
    <row r="103" spans="1:14" x14ac:dyDescent="0.3">
      <c r="A103" s="17" t="s">
        <v>394</v>
      </c>
      <c r="B103" s="17" t="s">
        <v>295</v>
      </c>
      <c r="C103" s="17" t="s">
        <v>277</v>
      </c>
      <c r="D103" s="17" t="s">
        <v>302</v>
      </c>
      <c r="E103" s="17">
        <v>9705241364</v>
      </c>
      <c r="F103" s="17" t="s">
        <v>282</v>
      </c>
      <c r="G103" s="17" t="s">
        <v>290</v>
      </c>
      <c r="H103" s="17">
        <v>458.7</v>
      </c>
      <c r="I103" s="17">
        <v>7</v>
      </c>
      <c r="J103" s="17">
        <v>839.97</v>
      </c>
      <c r="K103" s="17" t="s">
        <v>284</v>
      </c>
      <c r="L103" s="17">
        <f t="shared" si="3"/>
        <v>3210.9</v>
      </c>
      <c r="M103" s="17" t="str">
        <f t="shared" si="4"/>
        <v>Low</v>
      </c>
      <c r="N103" s="17">
        <f t="shared" si="5"/>
        <v>26.16</v>
      </c>
    </row>
    <row r="104" spans="1:14" x14ac:dyDescent="0.3">
      <c r="A104" s="17" t="s">
        <v>395</v>
      </c>
      <c r="B104" s="17" t="s">
        <v>295</v>
      </c>
      <c r="C104" s="17" t="s">
        <v>277</v>
      </c>
      <c r="D104" s="17" t="s">
        <v>278</v>
      </c>
      <c r="E104" s="17">
        <v>9245776255</v>
      </c>
      <c r="F104" s="17" t="s">
        <v>279</v>
      </c>
      <c r="G104" s="17" t="s">
        <v>210</v>
      </c>
      <c r="H104" s="17">
        <v>833.16</v>
      </c>
      <c r="I104" s="17">
        <v>12</v>
      </c>
      <c r="J104" s="17">
        <v>2135.63</v>
      </c>
      <c r="K104" s="17" t="s">
        <v>284</v>
      </c>
      <c r="L104" s="17">
        <f t="shared" si="3"/>
        <v>9997.92</v>
      </c>
      <c r="M104" s="17" t="str">
        <f t="shared" si="4"/>
        <v>Low</v>
      </c>
      <c r="N104" s="17">
        <f t="shared" si="5"/>
        <v>21.36</v>
      </c>
    </row>
    <row r="105" spans="1:14" x14ac:dyDescent="0.3">
      <c r="A105" s="17" t="s">
        <v>396</v>
      </c>
      <c r="B105" s="17" t="s">
        <v>295</v>
      </c>
      <c r="C105" s="17" t="s">
        <v>277</v>
      </c>
      <c r="D105" s="17" t="s">
        <v>316</v>
      </c>
      <c r="E105" s="17">
        <v>9881212856</v>
      </c>
      <c r="F105" s="17" t="s">
        <v>279</v>
      </c>
      <c r="G105" s="17" t="s">
        <v>210</v>
      </c>
      <c r="H105" s="17">
        <v>238.37</v>
      </c>
      <c r="I105" s="17">
        <v>13</v>
      </c>
      <c r="J105" s="17">
        <v>586.94000000000005</v>
      </c>
      <c r="K105" s="17" t="s">
        <v>284</v>
      </c>
      <c r="L105" s="17">
        <f t="shared" si="3"/>
        <v>3098.81</v>
      </c>
      <c r="M105" s="17" t="str">
        <f t="shared" si="4"/>
        <v>Low</v>
      </c>
      <c r="N105" s="17">
        <f t="shared" si="5"/>
        <v>18.940000000000001</v>
      </c>
    </row>
    <row r="106" spans="1:14" x14ac:dyDescent="0.3">
      <c r="A106" s="17" t="s">
        <v>397</v>
      </c>
      <c r="B106" s="17" t="s">
        <v>276</v>
      </c>
      <c r="C106" s="17" t="s">
        <v>277</v>
      </c>
      <c r="D106" s="17" t="s">
        <v>302</v>
      </c>
      <c r="E106" s="17">
        <v>9916091858</v>
      </c>
      <c r="F106" s="17" t="s">
        <v>279</v>
      </c>
      <c r="G106" s="17" t="s">
        <v>213</v>
      </c>
      <c r="H106" s="17">
        <v>820.05</v>
      </c>
      <c r="I106" s="17">
        <v>3</v>
      </c>
      <c r="J106" s="17">
        <v>419.41</v>
      </c>
      <c r="K106" s="17" t="s">
        <v>261</v>
      </c>
      <c r="L106" s="17">
        <f t="shared" si="3"/>
        <v>2460.1499999999996</v>
      </c>
      <c r="M106" s="17" t="str">
        <f t="shared" si="4"/>
        <v>Low</v>
      </c>
      <c r="N106" s="17">
        <f t="shared" si="5"/>
        <v>17.05</v>
      </c>
    </row>
    <row r="107" spans="1:14" x14ac:dyDescent="0.3">
      <c r="A107" s="17" t="s">
        <v>398</v>
      </c>
      <c r="B107" s="17" t="s">
        <v>307</v>
      </c>
      <c r="C107" s="17" t="s">
        <v>277</v>
      </c>
      <c r="D107" s="17" t="s">
        <v>278</v>
      </c>
      <c r="E107" s="17">
        <v>9425191872</v>
      </c>
      <c r="F107" s="17" t="s">
        <v>259</v>
      </c>
      <c r="G107" s="17" t="s">
        <v>217</v>
      </c>
      <c r="H107" s="17">
        <v>2716.33</v>
      </c>
      <c r="I107" s="17">
        <v>8</v>
      </c>
      <c r="J107" s="17">
        <v>5513.14</v>
      </c>
      <c r="K107" s="17" t="s">
        <v>284</v>
      </c>
      <c r="L107" s="17">
        <f t="shared" si="3"/>
        <v>21730.639999999999</v>
      </c>
      <c r="M107" s="17" t="str">
        <f t="shared" si="4"/>
        <v>High</v>
      </c>
      <c r="N107" s="17">
        <f t="shared" si="5"/>
        <v>25.37</v>
      </c>
    </row>
    <row r="108" spans="1:14" x14ac:dyDescent="0.3">
      <c r="A108" s="17" t="s">
        <v>399</v>
      </c>
      <c r="B108" s="17" t="s">
        <v>307</v>
      </c>
      <c r="C108" s="17" t="s">
        <v>277</v>
      </c>
      <c r="D108" s="17" t="s">
        <v>316</v>
      </c>
      <c r="E108" s="17">
        <v>9459337548</v>
      </c>
      <c r="F108" s="17" t="s">
        <v>279</v>
      </c>
      <c r="G108" s="17" t="s">
        <v>313</v>
      </c>
      <c r="H108" s="17">
        <v>1918.81</v>
      </c>
      <c r="I108" s="17">
        <v>1</v>
      </c>
      <c r="J108" s="17">
        <v>442.75</v>
      </c>
      <c r="K108" s="17" t="s">
        <v>291</v>
      </c>
      <c r="L108" s="17">
        <f t="shared" si="3"/>
        <v>1918.81</v>
      </c>
      <c r="M108" s="17" t="str">
        <f t="shared" si="4"/>
        <v>Low</v>
      </c>
      <c r="N108" s="17">
        <f t="shared" si="5"/>
        <v>23.07</v>
      </c>
    </row>
  </sheetData>
  <mergeCells count="3">
    <mergeCell ref="P7:R7"/>
    <mergeCell ref="P15:R15"/>
    <mergeCell ref="A3:N7"/>
  </mergeCells>
  <conditionalFormatting sqref="J9:J108">
    <cfRule type="expression" dxfId="1" priority="2">
      <formula>$J9&gt;5000</formula>
    </cfRule>
  </conditionalFormatting>
  <conditionalFormatting sqref="E9:E108">
    <cfRule type="expression" dxfId="0" priority="1">
      <formula>LEN(E9)&lt;&gt;10</formula>
    </cfRule>
  </conditionalFormatting>
  <dataValidations count="1">
    <dataValidation type="whole" errorStyle="warning" allowBlank="1" showInputMessage="1" showErrorMessage="1" errorTitle="wait!" error="entered number should not be between 1 to 20" sqref="I9:I108" xr:uid="{5BF02636-107D-48C2-B709-F231C56166D5}">
      <formula1>1</formula1>
      <formula2>20</formula2>
    </dataValidation>
  </dataValidations>
  <pageMargins left="0.7" right="0.7" top="0.75" bottom="0.75" header="0.3" footer="0.3"/>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3FD87-5A56-4E9B-BAD0-2D8FCB55D8DB}">
  <sheetPr codeName="Sheet2"/>
  <dimension ref="A3:B12"/>
  <sheetViews>
    <sheetView workbookViewId="0">
      <selection activeCell="B3" sqref="B3"/>
    </sheetView>
  </sheetViews>
  <sheetFormatPr defaultRowHeight="14.4" x14ac:dyDescent="0.3"/>
  <cols>
    <col min="1" max="1" width="12.5546875" bestFit="1" customWidth="1"/>
    <col min="2" max="2" width="13.88671875" bestFit="1" customWidth="1"/>
  </cols>
  <sheetData>
    <row r="3" spans="1:2" x14ac:dyDescent="0.3">
      <c r="A3" s="4" t="s">
        <v>169</v>
      </c>
      <c r="B3" t="s">
        <v>172</v>
      </c>
    </row>
    <row r="4" spans="1:2" x14ac:dyDescent="0.3">
      <c r="A4" s="5" t="s">
        <v>71</v>
      </c>
      <c r="B4">
        <v>9</v>
      </c>
    </row>
    <row r="5" spans="1:2" x14ac:dyDescent="0.3">
      <c r="A5" s="5" t="s">
        <v>56</v>
      </c>
      <c r="B5">
        <v>14</v>
      </c>
    </row>
    <row r="6" spans="1:2" x14ac:dyDescent="0.3">
      <c r="A6" s="5" t="s">
        <v>80</v>
      </c>
      <c r="B6">
        <v>12</v>
      </c>
    </row>
    <row r="7" spans="1:2" x14ac:dyDescent="0.3">
      <c r="A7" s="5" t="s">
        <v>65</v>
      </c>
      <c r="B7">
        <v>9</v>
      </c>
    </row>
    <row r="8" spans="1:2" x14ac:dyDescent="0.3">
      <c r="A8" s="5" t="s">
        <v>33</v>
      </c>
      <c r="B8">
        <v>17</v>
      </c>
    </row>
    <row r="9" spans="1:2" x14ac:dyDescent="0.3">
      <c r="A9" s="5" t="s">
        <v>86</v>
      </c>
      <c r="B9">
        <v>13</v>
      </c>
    </row>
    <row r="10" spans="1:2" x14ac:dyDescent="0.3">
      <c r="A10" s="5" t="s">
        <v>41</v>
      </c>
      <c r="B10">
        <v>15</v>
      </c>
    </row>
    <row r="11" spans="1:2" x14ac:dyDescent="0.3">
      <c r="A11" s="5" t="s">
        <v>51</v>
      </c>
      <c r="B11">
        <v>11</v>
      </c>
    </row>
    <row r="12" spans="1:2" x14ac:dyDescent="0.3">
      <c r="A12" s="5" t="s">
        <v>170</v>
      </c>
      <c r="B12">
        <v>100</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40DA5-C783-4536-9E57-0E529754AC8E}">
  <sheetPr codeName="Sheet3"/>
  <dimension ref="A3:B8"/>
  <sheetViews>
    <sheetView workbookViewId="0">
      <selection activeCell="AF19" sqref="AF19"/>
    </sheetView>
  </sheetViews>
  <sheetFormatPr defaultRowHeight="14.4" x14ac:dyDescent="0.3"/>
  <cols>
    <col min="1" max="1" width="12.5546875" bestFit="1" customWidth="1"/>
    <col min="2" max="2" width="18.5546875" bestFit="1" customWidth="1"/>
  </cols>
  <sheetData>
    <row r="3" spans="1:2" x14ac:dyDescent="0.3">
      <c r="A3" s="4" t="s">
        <v>169</v>
      </c>
      <c r="B3" t="s">
        <v>171</v>
      </c>
    </row>
    <row r="4" spans="1:2" x14ac:dyDescent="0.3">
      <c r="A4" s="5" t="s">
        <v>49</v>
      </c>
      <c r="B4" s="13">
        <v>24</v>
      </c>
    </row>
    <row r="5" spans="1:2" x14ac:dyDescent="0.3">
      <c r="A5" s="5" t="s">
        <v>62</v>
      </c>
      <c r="B5" s="13">
        <v>26</v>
      </c>
    </row>
    <row r="6" spans="1:2" x14ac:dyDescent="0.3">
      <c r="A6" s="5" t="s">
        <v>38</v>
      </c>
      <c r="B6" s="13">
        <v>22</v>
      </c>
    </row>
    <row r="7" spans="1:2" x14ac:dyDescent="0.3">
      <c r="A7" s="5" t="s">
        <v>73</v>
      </c>
      <c r="B7" s="13">
        <v>28</v>
      </c>
    </row>
    <row r="8" spans="1:2" x14ac:dyDescent="0.3">
      <c r="A8" s="5" t="s">
        <v>170</v>
      </c>
      <c r="B8" s="13">
        <v>100</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AB4BF-E014-42AA-8C33-75D2F4739D4B}">
  <sheetPr codeName="Sheet4"/>
  <dimension ref="A3:B10"/>
  <sheetViews>
    <sheetView workbookViewId="0">
      <selection activeCell="B5" sqref="B5"/>
    </sheetView>
  </sheetViews>
  <sheetFormatPr defaultRowHeight="14.4" x14ac:dyDescent="0.3"/>
  <cols>
    <col min="1" max="1" width="15.44140625" bestFit="1" customWidth="1"/>
    <col min="2" max="2" width="18.5546875" bestFit="1" customWidth="1"/>
  </cols>
  <sheetData>
    <row r="3" spans="1:2" x14ac:dyDescent="0.3">
      <c r="A3" s="4" t="s">
        <v>169</v>
      </c>
      <c r="B3" t="s">
        <v>171</v>
      </c>
    </row>
    <row r="4" spans="1:2" x14ac:dyDescent="0.3">
      <c r="A4" s="5" t="s">
        <v>54</v>
      </c>
      <c r="B4" s="13">
        <v>15</v>
      </c>
    </row>
    <row r="5" spans="1:2" x14ac:dyDescent="0.3">
      <c r="A5" s="5" t="s">
        <v>44</v>
      </c>
      <c r="B5" s="13">
        <v>14</v>
      </c>
    </row>
    <row r="6" spans="1:2" x14ac:dyDescent="0.3">
      <c r="A6" s="5" t="s">
        <v>63</v>
      </c>
      <c r="B6" s="13">
        <v>20</v>
      </c>
    </row>
    <row r="7" spans="1:2" x14ac:dyDescent="0.3">
      <c r="A7" s="5" t="s">
        <v>39</v>
      </c>
      <c r="B7" s="13">
        <v>17</v>
      </c>
    </row>
    <row r="8" spans="1:2" x14ac:dyDescent="0.3">
      <c r="A8" s="5" t="s">
        <v>66</v>
      </c>
      <c r="B8" s="13">
        <v>20</v>
      </c>
    </row>
    <row r="9" spans="1:2" x14ac:dyDescent="0.3">
      <c r="A9" s="5" t="s">
        <v>58</v>
      </c>
      <c r="B9" s="13">
        <v>14</v>
      </c>
    </row>
    <row r="10" spans="1:2" x14ac:dyDescent="0.3">
      <c r="A10" s="5" t="s">
        <v>170</v>
      </c>
      <c r="B10" s="13">
        <v>100</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CDA12-C720-4299-B9C8-8F7AAC38BDC4}">
  <sheetPr codeName="Sheet5"/>
  <dimension ref="A3:B8"/>
  <sheetViews>
    <sheetView workbookViewId="0">
      <selection activeCell="A3" sqref="A3"/>
    </sheetView>
  </sheetViews>
  <sheetFormatPr defaultRowHeight="14.4" x14ac:dyDescent="0.3"/>
  <cols>
    <col min="1" max="1" width="17" bestFit="1" customWidth="1"/>
    <col min="2" max="2" width="18.5546875" bestFit="1" customWidth="1"/>
  </cols>
  <sheetData>
    <row r="3" spans="1:2" x14ac:dyDescent="0.3">
      <c r="A3" s="4" t="s">
        <v>169</v>
      </c>
      <c r="B3" t="s">
        <v>171</v>
      </c>
    </row>
    <row r="4" spans="1:2" x14ac:dyDescent="0.3">
      <c r="A4" s="5" t="s">
        <v>43</v>
      </c>
      <c r="B4" s="13">
        <v>27</v>
      </c>
    </row>
    <row r="5" spans="1:2" x14ac:dyDescent="0.3">
      <c r="A5" s="5" t="s">
        <v>37</v>
      </c>
      <c r="B5" s="13">
        <v>23</v>
      </c>
    </row>
    <row r="6" spans="1:2" x14ac:dyDescent="0.3">
      <c r="A6" s="5" t="s">
        <v>48</v>
      </c>
      <c r="B6" s="13">
        <v>28</v>
      </c>
    </row>
    <row r="7" spans="1:2" x14ac:dyDescent="0.3">
      <c r="A7" s="5" t="s">
        <v>68</v>
      </c>
      <c r="B7" s="13">
        <v>22</v>
      </c>
    </row>
    <row r="8" spans="1:2" x14ac:dyDescent="0.3">
      <c r="A8" s="5" t="s">
        <v>170</v>
      </c>
      <c r="B8" s="13">
        <v>100</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F5DB5-E488-480D-9F75-1BDAE1EA189F}">
  <sheetPr codeName="Sheet8"/>
  <dimension ref="A3:G104"/>
  <sheetViews>
    <sheetView workbookViewId="0">
      <selection activeCell="F8" sqref="F8"/>
    </sheetView>
  </sheetViews>
  <sheetFormatPr defaultRowHeight="14.4" x14ac:dyDescent="0.3"/>
  <cols>
    <col min="1" max="1" width="12.5546875" bestFit="1" customWidth="1"/>
    <col min="2" max="2" width="12.6640625" bestFit="1" customWidth="1"/>
    <col min="3" max="3" width="15.6640625" bestFit="1" customWidth="1"/>
    <col min="4" max="4" width="13.88671875" bestFit="1" customWidth="1"/>
    <col min="5" max="5" width="20.88671875" bestFit="1" customWidth="1"/>
    <col min="6" max="6" width="22.109375" bestFit="1" customWidth="1"/>
    <col min="7" max="7" width="16.109375" bestFit="1" customWidth="1"/>
  </cols>
  <sheetData>
    <row r="3" spans="1:7" x14ac:dyDescent="0.3">
      <c r="A3" s="4" t="s">
        <v>169</v>
      </c>
      <c r="B3" t="s">
        <v>179</v>
      </c>
      <c r="C3" t="s">
        <v>177</v>
      </c>
      <c r="D3" t="s">
        <v>178</v>
      </c>
      <c r="E3" t="s">
        <v>174</v>
      </c>
      <c r="F3" t="s">
        <v>176</v>
      </c>
      <c r="G3" t="s">
        <v>175</v>
      </c>
    </row>
    <row r="4" spans="1:7" x14ac:dyDescent="0.3">
      <c r="A4" s="5" t="s">
        <v>32</v>
      </c>
      <c r="B4" s="13">
        <v>1</v>
      </c>
      <c r="C4" s="13">
        <v>1</v>
      </c>
      <c r="D4" s="13">
        <v>1</v>
      </c>
      <c r="E4" s="13">
        <v>1</v>
      </c>
      <c r="F4" s="13">
        <v>1</v>
      </c>
      <c r="G4" s="13">
        <v>1</v>
      </c>
    </row>
    <row r="5" spans="1:7" x14ac:dyDescent="0.3">
      <c r="A5" s="5" t="s">
        <v>40</v>
      </c>
      <c r="B5" s="13">
        <v>1</v>
      </c>
      <c r="C5" s="13">
        <v>1</v>
      </c>
      <c r="D5" s="13">
        <v>1</v>
      </c>
      <c r="E5" s="13">
        <v>1</v>
      </c>
      <c r="F5" s="13">
        <v>1</v>
      </c>
      <c r="G5" s="13">
        <v>1</v>
      </c>
    </row>
    <row r="6" spans="1:7" x14ac:dyDescent="0.3">
      <c r="A6" s="5" t="s">
        <v>45</v>
      </c>
      <c r="B6" s="13">
        <v>1</v>
      </c>
      <c r="C6" s="13">
        <v>1</v>
      </c>
      <c r="D6" s="13">
        <v>1</v>
      </c>
      <c r="E6" s="13">
        <v>1</v>
      </c>
      <c r="F6" s="13">
        <v>1</v>
      </c>
      <c r="G6" s="13">
        <v>1</v>
      </c>
    </row>
    <row r="7" spans="1:7" x14ac:dyDescent="0.3">
      <c r="A7" s="5" t="s">
        <v>50</v>
      </c>
      <c r="B7" s="13">
        <v>1</v>
      </c>
      <c r="C7" s="13">
        <v>1</v>
      </c>
      <c r="D7" s="13">
        <v>1</v>
      </c>
      <c r="E7" s="13">
        <v>1</v>
      </c>
      <c r="F7" s="13">
        <v>1</v>
      </c>
      <c r="G7" s="13">
        <v>1</v>
      </c>
    </row>
    <row r="8" spans="1:7" x14ac:dyDescent="0.3">
      <c r="A8" s="5" t="s">
        <v>55</v>
      </c>
      <c r="B8" s="13">
        <v>1</v>
      </c>
      <c r="C8" s="13">
        <v>1</v>
      </c>
      <c r="D8" s="13">
        <v>1</v>
      </c>
      <c r="E8" s="13">
        <v>1</v>
      </c>
      <c r="F8" s="13">
        <v>1</v>
      </c>
      <c r="G8" s="13">
        <v>1</v>
      </c>
    </row>
    <row r="9" spans="1:7" x14ac:dyDescent="0.3">
      <c r="A9" s="5" t="s">
        <v>59</v>
      </c>
      <c r="B9" s="13">
        <v>1</v>
      </c>
      <c r="C9" s="13">
        <v>1</v>
      </c>
      <c r="D9" s="13">
        <v>1</v>
      </c>
      <c r="E9" s="13">
        <v>1</v>
      </c>
      <c r="F9" s="13">
        <v>1</v>
      </c>
      <c r="G9" s="13">
        <v>1</v>
      </c>
    </row>
    <row r="10" spans="1:7" x14ac:dyDescent="0.3">
      <c r="A10" s="5" t="s">
        <v>64</v>
      </c>
      <c r="B10" s="13">
        <v>1</v>
      </c>
      <c r="C10" s="13">
        <v>1</v>
      </c>
      <c r="D10" s="13">
        <v>1</v>
      </c>
      <c r="E10" s="13">
        <v>1</v>
      </c>
      <c r="F10" s="13">
        <v>1</v>
      </c>
      <c r="G10" s="13">
        <v>1</v>
      </c>
    </row>
    <row r="11" spans="1:7" x14ac:dyDescent="0.3">
      <c r="A11" s="5" t="s">
        <v>67</v>
      </c>
      <c r="B11" s="13">
        <v>1</v>
      </c>
      <c r="C11" s="13">
        <v>1</v>
      </c>
      <c r="D11" s="13">
        <v>1</v>
      </c>
      <c r="E11" s="13">
        <v>1</v>
      </c>
      <c r="F11" s="13">
        <v>1</v>
      </c>
      <c r="G11" s="13">
        <v>1</v>
      </c>
    </row>
    <row r="12" spans="1:7" x14ac:dyDescent="0.3">
      <c r="A12" s="5" t="s">
        <v>69</v>
      </c>
      <c r="B12" s="13">
        <v>1</v>
      </c>
      <c r="C12" s="13">
        <v>1</v>
      </c>
      <c r="D12" s="13">
        <v>1</v>
      </c>
      <c r="E12" s="13">
        <v>1</v>
      </c>
      <c r="F12" s="13">
        <v>1</v>
      </c>
      <c r="G12" s="13">
        <v>1</v>
      </c>
    </row>
    <row r="13" spans="1:7" x14ac:dyDescent="0.3">
      <c r="A13" s="5" t="s">
        <v>70</v>
      </c>
      <c r="B13" s="13">
        <v>1</v>
      </c>
      <c r="C13" s="13">
        <v>1</v>
      </c>
      <c r="D13" s="13">
        <v>1</v>
      </c>
      <c r="E13" s="13">
        <v>1</v>
      </c>
      <c r="F13" s="13">
        <v>1</v>
      </c>
      <c r="G13" s="13">
        <v>1</v>
      </c>
    </row>
    <row r="14" spans="1:7" x14ac:dyDescent="0.3">
      <c r="A14" s="5" t="s">
        <v>74</v>
      </c>
      <c r="B14" s="13">
        <v>1</v>
      </c>
      <c r="C14" s="13">
        <v>1</v>
      </c>
      <c r="D14" s="13">
        <v>1</v>
      </c>
      <c r="E14" s="13">
        <v>1</v>
      </c>
      <c r="F14" s="13">
        <v>1</v>
      </c>
      <c r="G14" s="13">
        <v>1</v>
      </c>
    </row>
    <row r="15" spans="1:7" x14ac:dyDescent="0.3">
      <c r="A15" s="5" t="s">
        <v>76</v>
      </c>
      <c r="B15" s="13">
        <v>1</v>
      </c>
      <c r="C15" s="13">
        <v>1</v>
      </c>
      <c r="D15" s="13">
        <v>1</v>
      </c>
      <c r="E15" s="13">
        <v>1</v>
      </c>
      <c r="F15" s="13">
        <v>1</v>
      </c>
      <c r="G15" s="13">
        <v>1</v>
      </c>
    </row>
    <row r="16" spans="1:7" x14ac:dyDescent="0.3">
      <c r="A16" s="5" t="s">
        <v>78</v>
      </c>
      <c r="B16" s="13">
        <v>1</v>
      </c>
      <c r="C16" s="13">
        <v>1</v>
      </c>
      <c r="D16" s="13">
        <v>1</v>
      </c>
      <c r="E16" s="13">
        <v>1</v>
      </c>
      <c r="F16" s="13">
        <v>1</v>
      </c>
      <c r="G16" s="13">
        <v>1</v>
      </c>
    </row>
    <row r="17" spans="1:7" x14ac:dyDescent="0.3">
      <c r="A17" s="5" t="s">
        <v>79</v>
      </c>
      <c r="B17" s="13">
        <v>1</v>
      </c>
      <c r="C17" s="13">
        <v>1</v>
      </c>
      <c r="D17" s="13">
        <v>1</v>
      </c>
      <c r="E17" s="13">
        <v>1</v>
      </c>
      <c r="F17" s="13">
        <v>1</v>
      </c>
      <c r="G17" s="13">
        <v>1</v>
      </c>
    </row>
    <row r="18" spans="1:7" x14ac:dyDescent="0.3">
      <c r="A18" s="5" t="s">
        <v>82</v>
      </c>
      <c r="B18" s="13">
        <v>1</v>
      </c>
      <c r="C18" s="13">
        <v>1</v>
      </c>
      <c r="D18" s="13">
        <v>1</v>
      </c>
      <c r="E18" s="13">
        <v>1</v>
      </c>
      <c r="F18" s="13">
        <v>1</v>
      </c>
      <c r="G18" s="13">
        <v>1</v>
      </c>
    </row>
    <row r="19" spans="1:7" x14ac:dyDescent="0.3">
      <c r="A19" s="5" t="s">
        <v>83</v>
      </c>
      <c r="B19" s="13">
        <v>1</v>
      </c>
      <c r="C19" s="13">
        <v>1</v>
      </c>
      <c r="D19" s="13">
        <v>1</v>
      </c>
      <c r="E19" s="13">
        <v>1</v>
      </c>
      <c r="F19" s="13">
        <v>1</v>
      </c>
      <c r="G19" s="13">
        <v>1</v>
      </c>
    </row>
    <row r="20" spans="1:7" x14ac:dyDescent="0.3">
      <c r="A20" s="5" t="s">
        <v>84</v>
      </c>
      <c r="B20" s="13">
        <v>1</v>
      </c>
      <c r="C20" s="13">
        <v>1</v>
      </c>
      <c r="D20" s="13">
        <v>1</v>
      </c>
      <c r="E20" s="13">
        <v>1</v>
      </c>
      <c r="F20" s="13">
        <v>1</v>
      </c>
      <c r="G20" s="13">
        <v>1</v>
      </c>
    </row>
    <row r="21" spans="1:7" x14ac:dyDescent="0.3">
      <c r="A21" s="5" t="s">
        <v>85</v>
      </c>
      <c r="B21" s="13">
        <v>1</v>
      </c>
      <c r="C21" s="13">
        <v>1</v>
      </c>
      <c r="D21" s="13">
        <v>1</v>
      </c>
      <c r="E21" s="13">
        <v>1</v>
      </c>
      <c r="F21" s="13">
        <v>1</v>
      </c>
      <c r="G21" s="13">
        <v>1</v>
      </c>
    </row>
    <row r="22" spans="1:7" x14ac:dyDescent="0.3">
      <c r="A22" s="5" t="s">
        <v>87</v>
      </c>
      <c r="B22" s="13">
        <v>1</v>
      </c>
      <c r="C22" s="13">
        <v>1</v>
      </c>
      <c r="D22" s="13">
        <v>1</v>
      </c>
      <c r="E22" s="13">
        <v>1</v>
      </c>
      <c r="F22" s="13">
        <v>1</v>
      </c>
      <c r="G22" s="13">
        <v>1</v>
      </c>
    </row>
    <row r="23" spans="1:7" x14ac:dyDescent="0.3">
      <c r="A23" s="5" t="s">
        <v>88</v>
      </c>
      <c r="B23" s="13">
        <v>1</v>
      </c>
      <c r="C23" s="13">
        <v>1</v>
      </c>
      <c r="D23" s="13">
        <v>1</v>
      </c>
      <c r="E23" s="13">
        <v>1</v>
      </c>
      <c r="F23" s="13">
        <v>1</v>
      </c>
      <c r="G23" s="13">
        <v>1</v>
      </c>
    </row>
    <row r="24" spans="1:7" x14ac:dyDescent="0.3">
      <c r="A24" s="5" t="s">
        <v>89</v>
      </c>
      <c r="B24" s="13">
        <v>1</v>
      </c>
      <c r="C24" s="13">
        <v>1</v>
      </c>
      <c r="D24" s="13">
        <v>1</v>
      </c>
      <c r="E24" s="13">
        <v>1</v>
      </c>
      <c r="F24" s="13">
        <v>1</v>
      </c>
      <c r="G24" s="13">
        <v>1</v>
      </c>
    </row>
    <row r="25" spans="1:7" x14ac:dyDescent="0.3">
      <c r="A25" s="5" t="s">
        <v>90</v>
      </c>
      <c r="B25" s="13">
        <v>1</v>
      </c>
      <c r="C25" s="13">
        <v>1</v>
      </c>
      <c r="D25" s="13">
        <v>1</v>
      </c>
      <c r="E25" s="13">
        <v>1</v>
      </c>
      <c r="F25" s="13">
        <v>1</v>
      </c>
      <c r="G25" s="13">
        <v>1</v>
      </c>
    </row>
    <row r="26" spans="1:7" x14ac:dyDescent="0.3">
      <c r="A26" s="5" t="s">
        <v>91</v>
      </c>
      <c r="B26" s="13">
        <v>1</v>
      </c>
      <c r="C26" s="13">
        <v>1</v>
      </c>
      <c r="D26" s="13">
        <v>1</v>
      </c>
      <c r="E26" s="13">
        <v>1</v>
      </c>
      <c r="F26" s="13">
        <v>1</v>
      </c>
      <c r="G26" s="13">
        <v>1</v>
      </c>
    </row>
    <row r="27" spans="1:7" x14ac:dyDescent="0.3">
      <c r="A27" s="5" t="s">
        <v>92</v>
      </c>
      <c r="B27" s="13">
        <v>1</v>
      </c>
      <c r="C27" s="13">
        <v>1</v>
      </c>
      <c r="D27" s="13">
        <v>1</v>
      </c>
      <c r="E27" s="13">
        <v>1</v>
      </c>
      <c r="F27" s="13">
        <v>1</v>
      </c>
      <c r="G27" s="13">
        <v>1</v>
      </c>
    </row>
    <row r="28" spans="1:7" x14ac:dyDescent="0.3">
      <c r="A28" s="5" t="s">
        <v>93</v>
      </c>
      <c r="B28" s="13">
        <v>1</v>
      </c>
      <c r="C28" s="13">
        <v>1</v>
      </c>
      <c r="D28" s="13">
        <v>1</v>
      </c>
      <c r="E28" s="13">
        <v>1</v>
      </c>
      <c r="F28" s="13">
        <v>1</v>
      </c>
      <c r="G28" s="13">
        <v>1</v>
      </c>
    </row>
    <row r="29" spans="1:7" x14ac:dyDescent="0.3">
      <c r="A29" s="5" t="s">
        <v>94</v>
      </c>
      <c r="B29" s="13">
        <v>1</v>
      </c>
      <c r="C29" s="13">
        <v>1</v>
      </c>
      <c r="D29" s="13">
        <v>1</v>
      </c>
      <c r="E29" s="13">
        <v>1</v>
      </c>
      <c r="F29" s="13">
        <v>1</v>
      </c>
      <c r="G29" s="13">
        <v>1</v>
      </c>
    </row>
    <row r="30" spans="1:7" x14ac:dyDescent="0.3">
      <c r="A30" s="5" t="s">
        <v>95</v>
      </c>
      <c r="B30" s="13">
        <v>1</v>
      </c>
      <c r="C30" s="13">
        <v>1</v>
      </c>
      <c r="D30" s="13">
        <v>1</v>
      </c>
      <c r="E30" s="13">
        <v>1</v>
      </c>
      <c r="F30" s="13">
        <v>1</v>
      </c>
      <c r="G30" s="13">
        <v>1</v>
      </c>
    </row>
    <row r="31" spans="1:7" x14ac:dyDescent="0.3">
      <c r="A31" s="5" t="s">
        <v>96</v>
      </c>
      <c r="B31" s="13">
        <v>1</v>
      </c>
      <c r="C31" s="13">
        <v>1</v>
      </c>
      <c r="D31" s="13">
        <v>1</v>
      </c>
      <c r="E31" s="13">
        <v>1</v>
      </c>
      <c r="F31" s="13">
        <v>1</v>
      </c>
      <c r="G31" s="13">
        <v>1</v>
      </c>
    </row>
    <row r="32" spans="1:7" x14ac:dyDescent="0.3">
      <c r="A32" s="5" t="s">
        <v>97</v>
      </c>
      <c r="B32" s="13">
        <v>1</v>
      </c>
      <c r="C32" s="13">
        <v>1</v>
      </c>
      <c r="D32" s="13">
        <v>1</v>
      </c>
      <c r="E32" s="13">
        <v>1</v>
      </c>
      <c r="F32" s="13">
        <v>1</v>
      </c>
      <c r="G32" s="13">
        <v>1</v>
      </c>
    </row>
    <row r="33" spans="1:7" x14ac:dyDescent="0.3">
      <c r="A33" s="5" t="s">
        <v>98</v>
      </c>
      <c r="B33" s="13">
        <v>1</v>
      </c>
      <c r="C33" s="13">
        <v>1</v>
      </c>
      <c r="D33" s="13">
        <v>1</v>
      </c>
      <c r="E33" s="13">
        <v>1</v>
      </c>
      <c r="F33" s="13">
        <v>1</v>
      </c>
      <c r="G33" s="13">
        <v>1</v>
      </c>
    </row>
    <row r="34" spans="1:7" x14ac:dyDescent="0.3">
      <c r="A34" s="5" t="s">
        <v>99</v>
      </c>
      <c r="B34" s="13">
        <v>1</v>
      </c>
      <c r="C34" s="13">
        <v>1</v>
      </c>
      <c r="D34" s="13">
        <v>1</v>
      </c>
      <c r="E34" s="13">
        <v>1</v>
      </c>
      <c r="F34" s="13">
        <v>1</v>
      </c>
      <c r="G34" s="13">
        <v>1</v>
      </c>
    </row>
    <row r="35" spans="1:7" x14ac:dyDescent="0.3">
      <c r="A35" s="5" t="s">
        <v>100</v>
      </c>
      <c r="B35" s="13">
        <v>1</v>
      </c>
      <c r="C35" s="13">
        <v>1</v>
      </c>
      <c r="D35" s="13">
        <v>1</v>
      </c>
      <c r="E35" s="13">
        <v>1</v>
      </c>
      <c r="F35" s="13">
        <v>1</v>
      </c>
      <c r="G35" s="13">
        <v>1</v>
      </c>
    </row>
    <row r="36" spans="1:7" x14ac:dyDescent="0.3">
      <c r="A36" s="5" t="s">
        <v>101</v>
      </c>
      <c r="B36" s="13">
        <v>1</v>
      </c>
      <c r="C36" s="13">
        <v>1</v>
      </c>
      <c r="D36" s="13">
        <v>1</v>
      </c>
      <c r="E36" s="13">
        <v>1</v>
      </c>
      <c r="F36" s="13">
        <v>1</v>
      </c>
      <c r="G36" s="13">
        <v>1</v>
      </c>
    </row>
    <row r="37" spans="1:7" x14ac:dyDescent="0.3">
      <c r="A37" s="5" t="s">
        <v>102</v>
      </c>
      <c r="B37" s="13">
        <v>1</v>
      </c>
      <c r="C37" s="13">
        <v>1</v>
      </c>
      <c r="D37" s="13">
        <v>1</v>
      </c>
      <c r="E37" s="13">
        <v>1</v>
      </c>
      <c r="F37" s="13">
        <v>1</v>
      </c>
      <c r="G37" s="13">
        <v>1</v>
      </c>
    </row>
    <row r="38" spans="1:7" x14ac:dyDescent="0.3">
      <c r="A38" s="5" t="s">
        <v>103</v>
      </c>
      <c r="B38" s="13">
        <v>1</v>
      </c>
      <c r="C38" s="13">
        <v>1</v>
      </c>
      <c r="D38" s="13">
        <v>1</v>
      </c>
      <c r="E38" s="13">
        <v>1</v>
      </c>
      <c r="F38" s="13">
        <v>1</v>
      </c>
      <c r="G38" s="13">
        <v>1</v>
      </c>
    </row>
    <row r="39" spans="1:7" x14ac:dyDescent="0.3">
      <c r="A39" s="5" t="s">
        <v>104</v>
      </c>
      <c r="B39" s="13">
        <v>1</v>
      </c>
      <c r="C39" s="13">
        <v>1</v>
      </c>
      <c r="D39" s="13">
        <v>1</v>
      </c>
      <c r="E39" s="13">
        <v>1</v>
      </c>
      <c r="F39" s="13">
        <v>1</v>
      </c>
      <c r="G39" s="13">
        <v>1</v>
      </c>
    </row>
    <row r="40" spans="1:7" x14ac:dyDescent="0.3">
      <c r="A40" s="5" t="s">
        <v>105</v>
      </c>
      <c r="B40" s="13">
        <v>1</v>
      </c>
      <c r="C40" s="13">
        <v>1</v>
      </c>
      <c r="D40" s="13">
        <v>1</v>
      </c>
      <c r="E40" s="13">
        <v>1</v>
      </c>
      <c r="F40" s="13">
        <v>1</v>
      </c>
      <c r="G40" s="13">
        <v>1</v>
      </c>
    </row>
    <row r="41" spans="1:7" x14ac:dyDescent="0.3">
      <c r="A41" s="5" t="s">
        <v>106</v>
      </c>
      <c r="B41" s="13">
        <v>1</v>
      </c>
      <c r="C41" s="13">
        <v>1</v>
      </c>
      <c r="D41" s="13">
        <v>1</v>
      </c>
      <c r="E41" s="13">
        <v>1</v>
      </c>
      <c r="F41" s="13">
        <v>1</v>
      </c>
      <c r="G41" s="13">
        <v>1</v>
      </c>
    </row>
    <row r="42" spans="1:7" x14ac:dyDescent="0.3">
      <c r="A42" s="5" t="s">
        <v>107</v>
      </c>
      <c r="B42" s="13">
        <v>1</v>
      </c>
      <c r="C42" s="13">
        <v>1</v>
      </c>
      <c r="D42" s="13">
        <v>1</v>
      </c>
      <c r="E42" s="13">
        <v>1</v>
      </c>
      <c r="F42" s="13">
        <v>1</v>
      </c>
      <c r="G42" s="13">
        <v>1</v>
      </c>
    </row>
    <row r="43" spans="1:7" x14ac:dyDescent="0.3">
      <c r="A43" s="5" t="s">
        <v>108</v>
      </c>
      <c r="B43" s="13">
        <v>1</v>
      </c>
      <c r="C43" s="13">
        <v>1</v>
      </c>
      <c r="D43" s="13">
        <v>1</v>
      </c>
      <c r="E43" s="13">
        <v>1</v>
      </c>
      <c r="F43" s="13">
        <v>1</v>
      </c>
      <c r="G43" s="13">
        <v>1</v>
      </c>
    </row>
    <row r="44" spans="1:7" x14ac:dyDescent="0.3">
      <c r="A44" s="5" t="s">
        <v>109</v>
      </c>
      <c r="B44" s="13">
        <v>1</v>
      </c>
      <c r="C44" s="13">
        <v>1</v>
      </c>
      <c r="D44" s="13">
        <v>1</v>
      </c>
      <c r="E44" s="13">
        <v>1</v>
      </c>
      <c r="F44" s="13">
        <v>1</v>
      </c>
      <c r="G44" s="13">
        <v>1</v>
      </c>
    </row>
    <row r="45" spans="1:7" x14ac:dyDescent="0.3">
      <c r="A45" s="5" t="s">
        <v>110</v>
      </c>
      <c r="B45" s="13">
        <v>1</v>
      </c>
      <c r="C45" s="13">
        <v>1</v>
      </c>
      <c r="D45" s="13">
        <v>1</v>
      </c>
      <c r="E45" s="13">
        <v>1</v>
      </c>
      <c r="F45" s="13">
        <v>1</v>
      </c>
      <c r="G45" s="13">
        <v>1</v>
      </c>
    </row>
    <row r="46" spans="1:7" x14ac:dyDescent="0.3">
      <c r="A46" s="5" t="s">
        <v>111</v>
      </c>
      <c r="B46" s="13">
        <v>1</v>
      </c>
      <c r="C46" s="13">
        <v>1</v>
      </c>
      <c r="D46" s="13">
        <v>1</v>
      </c>
      <c r="E46" s="13">
        <v>1</v>
      </c>
      <c r="F46" s="13">
        <v>1</v>
      </c>
      <c r="G46" s="13">
        <v>1</v>
      </c>
    </row>
    <row r="47" spans="1:7" x14ac:dyDescent="0.3">
      <c r="A47" s="5" t="s">
        <v>112</v>
      </c>
      <c r="B47" s="13">
        <v>1</v>
      </c>
      <c r="C47" s="13">
        <v>1</v>
      </c>
      <c r="D47" s="13">
        <v>1</v>
      </c>
      <c r="E47" s="13">
        <v>1</v>
      </c>
      <c r="F47" s="13">
        <v>1</v>
      </c>
      <c r="G47" s="13">
        <v>1</v>
      </c>
    </row>
    <row r="48" spans="1:7" x14ac:dyDescent="0.3">
      <c r="A48" s="5" t="s">
        <v>113</v>
      </c>
      <c r="B48" s="13">
        <v>1</v>
      </c>
      <c r="C48" s="13">
        <v>1</v>
      </c>
      <c r="D48" s="13">
        <v>1</v>
      </c>
      <c r="E48" s="13">
        <v>1</v>
      </c>
      <c r="F48" s="13">
        <v>1</v>
      </c>
      <c r="G48" s="13">
        <v>1</v>
      </c>
    </row>
    <row r="49" spans="1:7" x14ac:dyDescent="0.3">
      <c r="A49" s="5" t="s">
        <v>114</v>
      </c>
      <c r="B49" s="13">
        <v>1</v>
      </c>
      <c r="C49" s="13">
        <v>1</v>
      </c>
      <c r="D49" s="13">
        <v>1</v>
      </c>
      <c r="E49" s="13">
        <v>1</v>
      </c>
      <c r="F49" s="13">
        <v>1</v>
      </c>
      <c r="G49" s="13">
        <v>1</v>
      </c>
    </row>
    <row r="50" spans="1:7" x14ac:dyDescent="0.3">
      <c r="A50" s="5" t="s">
        <v>115</v>
      </c>
      <c r="B50" s="13">
        <v>1</v>
      </c>
      <c r="C50" s="13">
        <v>1</v>
      </c>
      <c r="D50" s="13">
        <v>1</v>
      </c>
      <c r="E50" s="13">
        <v>1</v>
      </c>
      <c r="F50" s="13">
        <v>1</v>
      </c>
      <c r="G50" s="13">
        <v>1</v>
      </c>
    </row>
    <row r="51" spans="1:7" x14ac:dyDescent="0.3">
      <c r="A51" s="5" t="s">
        <v>116</v>
      </c>
      <c r="B51" s="13">
        <v>1</v>
      </c>
      <c r="C51" s="13">
        <v>1</v>
      </c>
      <c r="D51" s="13">
        <v>1</v>
      </c>
      <c r="E51" s="13">
        <v>1</v>
      </c>
      <c r="F51" s="13">
        <v>1</v>
      </c>
      <c r="G51" s="13">
        <v>1</v>
      </c>
    </row>
    <row r="52" spans="1:7" x14ac:dyDescent="0.3">
      <c r="A52" s="5" t="s">
        <v>117</v>
      </c>
      <c r="B52" s="13">
        <v>1</v>
      </c>
      <c r="C52" s="13">
        <v>1</v>
      </c>
      <c r="D52" s="13">
        <v>1</v>
      </c>
      <c r="E52" s="13">
        <v>1</v>
      </c>
      <c r="F52" s="13">
        <v>1</v>
      </c>
      <c r="G52" s="13">
        <v>1</v>
      </c>
    </row>
    <row r="53" spans="1:7" x14ac:dyDescent="0.3">
      <c r="A53" s="5" t="s">
        <v>118</v>
      </c>
      <c r="B53" s="13">
        <v>1</v>
      </c>
      <c r="C53" s="13">
        <v>1</v>
      </c>
      <c r="D53" s="13">
        <v>1</v>
      </c>
      <c r="E53" s="13">
        <v>1</v>
      </c>
      <c r="F53" s="13">
        <v>1</v>
      </c>
      <c r="G53" s="13">
        <v>1</v>
      </c>
    </row>
    <row r="54" spans="1:7" x14ac:dyDescent="0.3">
      <c r="A54" s="5" t="s">
        <v>119</v>
      </c>
      <c r="B54" s="13">
        <v>1</v>
      </c>
      <c r="C54" s="13">
        <v>1</v>
      </c>
      <c r="D54" s="13">
        <v>1</v>
      </c>
      <c r="E54" s="13">
        <v>1</v>
      </c>
      <c r="F54" s="13">
        <v>1</v>
      </c>
      <c r="G54" s="13">
        <v>1</v>
      </c>
    </row>
    <row r="55" spans="1:7" x14ac:dyDescent="0.3">
      <c r="A55" s="5" t="s">
        <v>120</v>
      </c>
      <c r="B55" s="13">
        <v>1</v>
      </c>
      <c r="C55" s="13">
        <v>1</v>
      </c>
      <c r="D55" s="13">
        <v>1</v>
      </c>
      <c r="E55" s="13">
        <v>1</v>
      </c>
      <c r="F55" s="13">
        <v>1</v>
      </c>
      <c r="G55" s="13">
        <v>1</v>
      </c>
    </row>
    <row r="56" spans="1:7" x14ac:dyDescent="0.3">
      <c r="A56" s="5" t="s">
        <v>121</v>
      </c>
      <c r="B56" s="13">
        <v>1</v>
      </c>
      <c r="C56" s="13">
        <v>1</v>
      </c>
      <c r="D56" s="13">
        <v>1</v>
      </c>
      <c r="E56" s="13">
        <v>1</v>
      </c>
      <c r="F56" s="13">
        <v>1</v>
      </c>
      <c r="G56" s="13">
        <v>1</v>
      </c>
    </row>
    <row r="57" spans="1:7" x14ac:dyDescent="0.3">
      <c r="A57" s="5" t="s">
        <v>122</v>
      </c>
      <c r="B57" s="13">
        <v>1</v>
      </c>
      <c r="C57" s="13">
        <v>1</v>
      </c>
      <c r="D57" s="13">
        <v>1</v>
      </c>
      <c r="E57" s="13">
        <v>1</v>
      </c>
      <c r="F57" s="13">
        <v>1</v>
      </c>
      <c r="G57" s="13">
        <v>1</v>
      </c>
    </row>
    <row r="58" spans="1:7" x14ac:dyDescent="0.3">
      <c r="A58" s="5" t="s">
        <v>123</v>
      </c>
      <c r="B58" s="13">
        <v>1</v>
      </c>
      <c r="C58" s="13">
        <v>1</v>
      </c>
      <c r="D58" s="13">
        <v>1</v>
      </c>
      <c r="E58" s="13">
        <v>1</v>
      </c>
      <c r="F58" s="13">
        <v>1</v>
      </c>
      <c r="G58" s="13">
        <v>1</v>
      </c>
    </row>
    <row r="59" spans="1:7" x14ac:dyDescent="0.3">
      <c r="A59" s="5" t="s">
        <v>124</v>
      </c>
      <c r="B59" s="13">
        <v>1</v>
      </c>
      <c r="C59" s="13">
        <v>1</v>
      </c>
      <c r="D59" s="13">
        <v>1</v>
      </c>
      <c r="E59" s="13">
        <v>1</v>
      </c>
      <c r="F59" s="13">
        <v>1</v>
      </c>
      <c r="G59" s="13">
        <v>1</v>
      </c>
    </row>
    <row r="60" spans="1:7" x14ac:dyDescent="0.3">
      <c r="A60" s="5" t="s">
        <v>125</v>
      </c>
      <c r="B60" s="13">
        <v>1</v>
      </c>
      <c r="C60" s="13">
        <v>1</v>
      </c>
      <c r="D60" s="13">
        <v>1</v>
      </c>
      <c r="E60" s="13">
        <v>1</v>
      </c>
      <c r="F60" s="13">
        <v>1</v>
      </c>
      <c r="G60" s="13">
        <v>1</v>
      </c>
    </row>
    <row r="61" spans="1:7" x14ac:dyDescent="0.3">
      <c r="A61" s="5" t="s">
        <v>126</v>
      </c>
      <c r="B61" s="13">
        <v>1</v>
      </c>
      <c r="C61" s="13">
        <v>1</v>
      </c>
      <c r="D61" s="13">
        <v>1</v>
      </c>
      <c r="E61" s="13">
        <v>1</v>
      </c>
      <c r="F61" s="13">
        <v>1</v>
      </c>
      <c r="G61" s="13">
        <v>1</v>
      </c>
    </row>
    <row r="62" spans="1:7" x14ac:dyDescent="0.3">
      <c r="A62" s="5" t="s">
        <v>127</v>
      </c>
      <c r="B62" s="13">
        <v>1</v>
      </c>
      <c r="C62" s="13">
        <v>1</v>
      </c>
      <c r="D62" s="13">
        <v>1</v>
      </c>
      <c r="E62" s="13">
        <v>1</v>
      </c>
      <c r="F62" s="13">
        <v>1</v>
      </c>
      <c r="G62" s="13">
        <v>1</v>
      </c>
    </row>
    <row r="63" spans="1:7" x14ac:dyDescent="0.3">
      <c r="A63" s="5" t="s">
        <v>128</v>
      </c>
      <c r="B63" s="13">
        <v>1</v>
      </c>
      <c r="C63" s="13">
        <v>1</v>
      </c>
      <c r="D63" s="13">
        <v>1</v>
      </c>
      <c r="E63" s="13">
        <v>1</v>
      </c>
      <c r="F63" s="13">
        <v>1</v>
      </c>
      <c r="G63" s="13">
        <v>1</v>
      </c>
    </row>
    <row r="64" spans="1:7" x14ac:dyDescent="0.3">
      <c r="A64" s="5" t="s">
        <v>129</v>
      </c>
      <c r="B64" s="13">
        <v>1</v>
      </c>
      <c r="C64" s="13">
        <v>1</v>
      </c>
      <c r="D64" s="13">
        <v>1</v>
      </c>
      <c r="E64" s="13">
        <v>1</v>
      </c>
      <c r="F64" s="13">
        <v>1</v>
      </c>
      <c r="G64" s="13">
        <v>1</v>
      </c>
    </row>
    <row r="65" spans="1:7" x14ac:dyDescent="0.3">
      <c r="A65" s="5" t="s">
        <v>130</v>
      </c>
      <c r="B65" s="13">
        <v>1</v>
      </c>
      <c r="C65" s="13">
        <v>1</v>
      </c>
      <c r="D65" s="13">
        <v>1</v>
      </c>
      <c r="E65" s="13">
        <v>1</v>
      </c>
      <c r="F65" s="13">
        <v>1</v>
      </c>
      <c r="G65" s="13">
        <v>1</v>
      </c>
    </row>
    <row r="66" spans="1:7" x14ac:dyDescent="0.3">
      <c r="A66" s="5" t="s">
        <v>131</v>
      </c>
      <c r="B66" s="13">
        <v>1</v>
      </c>
      <c r="C66" s="13">
        <v>1</v>
      </c>
      <c r="D66" s="13">
        <v>1</v>
      </c>
      <c r="E66" s="13">
        <v>1</v>
      </c>
      <c r="F66" s="13">
        <v>1</v>
      </c>
      <c r="G66" s="13">
        <v>1</v>
      </c>
    </row>
    <row r="67" spans="1:7" x14ac:dyDescent="0.3">
      <c r="A67" s="5" t="s">
        <v>132</v>
      </c>
      <c r="B67" s="13">
        <v>1</v>
      </c>
      <c r="C67" s="13">
        <v>1</v>
      </c>
      <c r="D67" s="13">
        <v>1</v>
      </c>
      <c r="E67" s="13">
        <v>1</v>
      </c>
      <c r="F67" s="13">
        <v>1</v>
      </c>
      <c r="G67" s="13">
        <v>1</v>
      </c>
    </row>
    <row r="68" spans="1:7" x14ac:dyDescent="0.3">
      <c r="A68" s="5" t="s">
        <v>133</v>
      </c>
      <c r="B68" s="13">
        <v>1</v>
      </c>
      <c r="C68" s="13">
        <v>1</v>
      </c>
      <c r="D68" s="13">
        <v>1</v>
      </c>
      <c r="E68" s="13">
        <v>1</v>
      </c>
      <c r="F68" s="13">
        <v>1</v>
      </c>
      <c r="G68" s="13">
        <v>1</v>
      </c>
    </row>
    <row r="69" spans="1:7" x14ac:dyDescent="0.3">
      <c r="A69" s="5" t="s">
        <v>134</v>
      </c>
      <c r="B69" s="13">
        <v>1</v>
      </c>
      <c r="C69" s="13">
        <v>1</v>
      </c>
      <c r="D69" s="13">
        <v>1</v>
      </c>
      <c r="E69" s="13">
        <v>1</v>
      </c>
      <c r="F69" s="13">
        <v>1</v>
      </c>
      <c r="G69" s="13">
        <v>1</v>
      </c>
    </row>
    <row r="70" spans="1:7" x14ac:dyDescent="0.3">
      <c r="A70" s="5" t="s">
        <v>135</v>
      </c>
      <c r="B70" s="13">
        <v>1</v>
      </c>
      <c r="C70" s="13">
        <v>1</v>
      </c>
      <c r="D70" s="13">
        <v>1</v>
      </c>
      <c r="E70" s="13">
        <v>1</v>
      </c>
      <c r="F70" s="13">
        <v>1</v>
      </c>
      <c r="G70" s="13">
        <v>1</v>
      </c>
    </row>
    <row r="71" spans="1:7" x14ac:dyDescent="0.3">
      <c r="A71" s="5" t="s">
        <v>136</v>
      </c>
      <c r="B71" s="13">
        <v>1</v>
      </c>
      <c r="C71" s="13">
        <v>1</v>
      </c>
      <c r="D71" s="13">
        <v>1</v>
      </c>
      <c r="E71" s="13">
        <v>1</v>
      </c>
      <c r="F71" s="13">
        <v>1</v>
      </c>
      <c r="G71" s="13">
        <v>1</v>
      </c>
    </row>
    <row r="72" spans="1:7" x14ac:dyDescent="0.3">
      <c r="A72" s="5" t="s">
        <v>137</v>
      </c>
      <c r="B72" s="13">
        <v>1</v>
      </c>
      <c r="C72" s="13">
        <v>1</v>
      </c>
      <c r="D72" s="13">
        <v>1</v>
      </c>
      <c r="E72" s="13">
        <v>1</v>
      </c>
      <c r="F72" s="13">
        <v>1</v>
      </c>
      <c r="G72" s="13">
        <v>1</v>
      </c>
    </row>
    <row r="73" spans="1:7" x14ac:dyDescent="0.3">
      <c r="A73" s="5" t="s">
        <v>138</v>
      </c>
      <c r="B73" s="13">
        <v>1</v>
      </c>
      <c r="C73" s="13">
        <v>1</v>
      </c>
      <c r="D73" s="13">
        <v>1</v>
      </c>
      <c r="E73" s="13">
        <v>1</v>
      </c>
      <c r="F73" s="13">
        <v>1</v>
      </c>
      <c r="G73" s="13">
        <v>1</v>
      </c>
    </row>
    <row r="74" spans="1:7" x14ac:dyDescent="0.3">
      <c r="A74" s="5" t="s">
        <v>139</v>
      </c>
      <c r="B74" s="13">
        <v>1</v>
      </c>
      <c r="C74" s="13">
        <v>1</v>
      </c>
      <c r="D74" s="13">
        <v>1</v>
      </c>
      <c r="E74" s="13">
        <v>1</v>
      </c>
      <c r="F74" s="13">
        <v>1</v>
      </c>
      <c r="G74" s="13">
        <v>1</v>
      </c>
    </row>
    <row r="75" spans="1:7" x14ac:dyDescent="0.3">
      <c r="A75" s="5" t="s">
        <v>140</v>
      </c>
      <c r="B75" s="13">
        <v>1</v>
      </c>
      <c r="C75" s="13">
        <v>1</v>
      </c>
      <c r="D75" s="13">
        <v>1</v>
      </c>
      <c r="E75" s="13">
        <v>1</v>
      </c>
      <c r="F75" s="13">
        <v>1</v>
      </c>
      <c r="G75" s="13">
        <v>1</v>
      </c>
    </row>
    <row r="76" spans="1:7" x14ac:dyDescent="0.3">
      <c r="A76" s="5" t="s">
        <v>141</v>
      </c>
      <c r="B76" s="13">
        <v>1</v>
      </c>
      <c r="C76" s="13">
        <v>1</v>
      </c>
      <c r="D76" s="13">
        <v>1</v>
      </c>
      <c r="E76" s="13">
        <v>1</v>
      </c>
      <c r="F76" s="13">
        <v>1</v>
      </c>
      <c r="G76" s="13">
        <v>1</v>
      </c>
    </row>
    <row r="77" spans="1:7" x14ac:dyDescent="0.3">
      <c r="A77" s="5" t="s">
        <v>142</v>
      </c>
      <c r="B77" s="13">
        <v>1</v>
      </c>
      <c r="C77" s="13">
        <v>1</v>
      </c>
      <c r="D77" s="13">
        <v>1</v>
      </c>
      <c r="E77" s="13">
        <v>1</v>
      </c>
      <c r="F77" s="13">
        <v>1</v>
      </c>
      <c r="G77" s="13">
        <v>1</v>
      </c>
    </row>
    <row r="78" spans="1:7" x14ac:dyDescent="0.3">
      <c r="A78" s="5" t="s">
        <v>143</v>
      </c>
      <c r="B78" s="13">
        <v>1</v>
      </c>
      <c r="C78" s="13">
        <v>1</v>
      </c>
      <c r="D78" s="13">
        <v>1</v>
      </c>
      <c r="E78" s="13">
        <v>1</v>
      </c>
      <c r="F78" s="13">
        <v>1</v>
      </c>
      <c r="G78" s="13">
        <v>1</v>
      </c>
    </row>
    <row r="79" spans="1:7" x14ac:dyDescent="0.3">
      <c r="A79" s="5" t="s">
        <v>144</v>
      </c>
      <c r="B79" s="13">
        <v>1</v>
      </c>
      <c r="C79" s="13">
        <v>1</v>
      </c>
      <c r="D79" s="13">
        <v>1</v>
      </c>
      <c r="E79" s="13">
        <v>1</v>
      </c>
      <c r="F79" s="13">
        <v>1</v>
      </c>
      <c r="G79" s="13">
        <v>1</v>
      </c>
    </row>
    <row r="80" spans="1:7" x14ac:dyDescent="0.3">
      <c r="A80" s="5" t="s">
        <v>145</v>
      </c>
      <c r="B80" s="13">
        <v>1</v>
      </c>
      <c r="C80" s="13">
        <v>1</v>
      </c>
      <c r="D80" s="13">
        <v>1</v>
      </c>
      <c r="E80" s="13">
        <v>1</v>
      </c>
      <c r="F80" s="13">
        <v>1</v>
      </c>
      <c r="G80" s="13">
        <v>1</v>
      </c>
    </row>
    <row r="81" spans="1:7" x14ac:dyDescent="0.3">
      <c r="A81" s="5" t="s">
        <v>146</v>
      </c>
      <c r="B81" s="13">
        <v>1</v>
      </c>
      <c r="C81" s="13">
        <v>1</v>
      </c>
      <c r="D81" s="13">
        <v>1</v>
      </c>
      <c r="E81" s="13">
        <v>1</v>
      </c>
      <c r="F81" s="13">
        <v>1</v>
      </c>
      <c r="G81" s="13">
        <v>1</v>
      </c>
    </row>
    <row r="82" spans="1:7" x14ac:dyDescent="0.3">
      <c r="A82" s="5" t="s">
        <v>147</v>
      </c>
      <c r="B82" s="13">
        <v>1</v>
      </c>
      <c r="C82" s="13">
        <v>1</v>
      </c>
      <c r="D82" s="13">
        <v>1</v>
      </c>
      <c r="E82" s="13">
        <v>1</v>
      </c>
      <c r="F82" s="13">
        <v>1</v>
      </c>
      <c r="G82" s="13">
        <v>1</v>
      </c>
    </row>
    <row r="83" spans="1:7" x14ac:dyDescent="0.3">
      <c r="A83" s="5" t="s">
        <v>148</v>
      </c>
      <c r="B83" s="13">
        <v>1</v>
      </c>
      <c r="C83" s="13">
        <v>1</v>
      </c>
      <c r="D83" s="13">
        <v>1</v>
      </c>
      <c r="E83" s="13">
        <v>1</v>
      </c>
      <c r="F83" s="13">
        <v>1</v>
      </c>
      <c r="G83" s="13">
        <v>1</v>
      </c>
    </row>
    <row r="84" spans="1:7" x14ac:dyDescent="0.3">
      <c r="A84" s="5" t="s">
        <v>149</v>
      </c>
      <c r="B84" s="13">
        <v>1</v>
      </c>
      <c r="C84" s="13">
        <v>1</v>
      </c>
      <c r="D84" s="13">
        <v>1</v>
      </c>
      <c r="E84" s="13">
        <v>1</v>
      </c>
      <c r="F84" s="13">
        <v>1</v>
      </c>
      <c r="G84" s="13">
        <v>1</v>
      </c>
    </row>
    <row r="85" spans="1:7" x14ac:dyDescent="0.3">
      <c r="A85" s="5" t="s">
        <v>150</v>
      </c>
      <c r="B85" s="13">
        <v>1</v>
      </c>
      <c r="C85" s="13">
        <v>1</v>
      </c>
      <c r="D85" s="13">
        <v>1</v>
      </c>
      <c r="E85" s="13">
        <v>1</v>
      </c>
      <c r="F85" s="13">
        <v>1</v>
      </c>
      <c r="G85" s="13">
        <v>1</v>
      </c>
    </row>
    <row r="86" spans="1:7" x14ac:dyDescent="0.3">
      <c r="A86" s="5" t="s">
        <v>151</v>
      </c>
      <c r="B86" s="13">
        <v>1</v>
      </c>
      <c r="C86" s="13">
        <v>1</v>
      </c>
      <c r="D86" s="13">
        <v>1</v>
      </c>
      <c r="E86" s="13">
        <v>1</v>
      </c>
      <c r="F86" s="13">
        <v>1</v>
      </c>
      <c r="G86" s="13">
        <v>1</v>
      </c>
    </row>
    <row r="87" spans="1:7" x14ac:dyDescent="0.3">
      <c r="A87" s="5" t="s">
        <v>152</v>
      </c>
      <c r="B87" s="13">
        <v>1</v>
      </c>
      <c r="C87" s="13">
        <v>1</v>
      </c>
      <c r="D87" s="13">
        <v>1</v>
      </c>
      <c r="E87" s="13">
        <v>1</v>
      </c>
      <c r="F87" s="13">
        <v>1</v>
      </c>
      <c r="G87" s="13">
        <v>1</v>
      </c>
    </row>
    <row r="88" spans="1:7" x14ac:dyDescent="0.3">
      <c r="A88" s="5" t="s">
        <v>153</v>
      </c>
      <c r="B88" s="13">
        <v>1</v>
      </c>
      <c r="C88" s="13">
        <v>1</v>
      </c>
      <c r="D88" s="13">
        <v>1</v>
      </c>
      <c r="E88" s="13">
        <v>1</v>
      </c>
      <c r="F88" s="13">
        <v>1</v>
      </c>
      <c r="G88" s="13">
        <v>1</v>
      </c>
    </row>
    <row r="89" spans="1:7" x14ac:dyDescent="0.3">
      <c r="A89" s="5" t="s">
        <v>154</v>
      </c>
      <c r="B89" s="13">
        <v>1</v>
      </c>
      <c r="C89" s="13">
        <v>1</v>
      </c>
      <c r="D89" s="13">
        <v>1</v>
      </c>
      <c r="E89" s="13">
        <v>1</v>
      </c>
      <c r="F89" s="13">
        <v>1</v>
      </c>
      <c r="G89" s="13">
        <v>1</v>
      </c>
    </row>
    <row r="90" spans="1:7" x14ac:dyDescent="0.3">
      <c r="A90" s="5" t="s">
        <v>155</v>
      </c>
      <c r="B90" s="13">
        <v>1</v>
      </c>
      <c r="C90" s="13">
        <v>1</v>
      </c>
      <c r="D90" s="13">
        <v>1</v>
      </c>
      <c r="E90" s="13">
        <v>1</v>
      </c>
      <c r="F90" s="13">
        <v>1</v>
      </c>
      <c r="G90" s="13">
        <v>1</v>
      </c>
    </row>
    <row r="91" spans="1:7" x14ac:dyDescent="0.3">
      <c r="A91" s="5" t="s">
        <v>156</v>
      </c>
      <c r="B91" s="13">
        <v>1</v>
      </c>
      <c r="C91" s="13">
        <v>1</v>
      </c>
      <c r="D91" s="13">
        <v>1</v>
      </c>
      <c r="E91" s="13">
        <v>1</v>
      </c>
      <c r="F91" s="13">
        <v>1</v>
      </c>
      <c r="G91" s="13">
        <v>1</v>
      </c>
    </row>
    <row r="92" spans="1:7" x14ac:dyDescent="0.3">
      <c r="A92" s="5" t="s">
        <v>157</v>
      </c>
      <c r="B92" s="13">
        <v>1</v>
      </c>
      <c r="C92" s="13">
        <v>1</v>
      </c>
      <c r="D92" s="13">
        <v>1</v>
      </c>
      <c r="E92" s="13">
        <v>1</v>
      </c>
      <c r="F92" s="13">
        <v>1</v>
      </c>
      <c r="G92" s="13">
        <v>1</v>
      </c>
    </row>
    <row r="93" spans="1:7" x14ac:dyDescent="0.3">
      <c r="A93" s="5" t="s">
        <v>158</v>
      </c>
      <c r="B93" s="13">
        <v>1</v>
      </c>
      <c r="C93" s="13">
        <v>1</v>
      </c>
      <c r="D93" s="13">
        <v>1</v>
      </c>
      <c r="E93" s="13">
        <v>1</v>
      </c>
      <c r="F93" s="13">
        <v>1</v>
      </c>
      <c r="G93" s="13">
        <v>1</v>
      </c>
    </row>
    <row r="94" spans="1:7" x14ac:dyDescent="0.3">
      <c r="A94" s="5" t="s">
        <v>159</v>
      </c>
      <c r="B94" s="13">
        <v>1</v>
      </c>
      <c r="C94" s="13">
        <v>1</v>
      </c>
      <c r="D94" s="13">
        <v>1</v>
      </c>
      <c r="E94" s="13">
        <v>1</v>
      </c>
      <c r="F94" s="13">
        <v>1</v>
      </c>
      <c r="G94" s="13">
        <v>1</v>
      </c>
    </row>
    <row r="95" spans="1:7" x14ac:dyDescent="0.3">
      <c r="A95" s="5" t="s">
        <v>160</v>
      </c>
      <c r="B95" s="13">
        <v>1</v>
      </c>
      <c r="C95" s="13">
        <v>1</v>
      </c>
      <c r="D95" s="13">
        <v>1</v>
      </c>
      <c r="E95" s="13">
        <v>1</v>
      </c>
      <c r="F95" s="13">
        <v>1</v>
      </c>
      <c r="G95" s="13">
        <v>1</v>
      </c>
    </row>
    <row r="96" spans="1:7" x14ac:dyDescent="0.3">
      <c r="A96" s="5" t="s">
        <v>161</v>
      </c>
      <c r="B96" s="13">
        <v>1</v>
      </c>
      <c r="C96" s="13">
        <v>1</v>
      </c>
      <c r="D96" s="13">
        <v>1</v>
      </c>
      <c r="E96" s="13">
        <v>1</v>
      </c>
      <c r="F96" s="13">
        <v>1</v>
      </c>
      <c r="G96" s="13">
        <v>1</v>
      </c>
    </row>
    <row r="97" spans="1:7" x14ac:dyDescent="0.3">
      <c r="A97" s="5" t="s">
        <v>162</v>
      </c>
      <c r="B97" s="13">
        <v>1</v>
      </c>
      <c r="C97" s="13">
        <v>1</v>
      </c>
      <c r="D97" s="13">
        <v>1</v>
      </c>
      <c r="E97" s="13">
        <v>1</v>
      </c>
      <c r="F97" s="13">
        <v>1</v>
      </c>
      <c r="G97" s="13">
        <v>1</v>
      </c>
    </row>
    <row r="98" spans="1:7" x14ac:dyDescent="0.3">
      <c r="A98" s="5" t="s">
        <v>163</v>
      </c>
      <c r="B98" s="13">
        <v>1</v>
      </c>
      <c r="C98" s="13">
        <v>1</v>
      </c>
      <c r="D98" s="13">
        <v>1</v>
      </c>
      <c r="E98" s="13">
        <v>1</v>
      </c>
      <c r="F98" s="13">
        <v>1</v>
      </c>
      <c r="G98" s="13">
        <v>1</v>
      </c>
    </row>
    <row r="99" spans="1:7" x14ac:dyDescent="0.3">
      <c r="A99" s="5" t="s">
        <v>164</v>
      </c>
      <c r="B99" s="13">
        <v>1</v>
      </c>
      <c r="C99" s="13">
        <v>1</v>
      </c>
      <c r="D99" s="13">
        <v>1</v>
      </c>
      <c r="E99" s="13">
        <v>1</v>
      </c>
      <c r="F99" s="13">
        <v>1</v>
      </c>
      <c r="G99" s="13">
        <v>1</v>
      </c>
    </row>
    <row r="100" spans="1:7" x14ac:dyDescent="0.3">
      <c r="A100" s="5" t="s">
        <v>165</v>
      </c>
      <c r="B100" s="13">
        <v>1</v>
      </c>
      <c r="C100" s="13">
        <v>1</v>
      </c>
      <c r="D100" s="13">
        <v>1</v>
      </c>
      <c r="E100" s="13">
        <v>1</v>
      </c>
      <c r="F100" s="13">
        <v>1</v>
      </c>
      <c r="G100" s="13">
        <v>1</v>
      </c>
    </row>
    <row r="101" spans="1:7" x14ac:dyDescent="0.3">
      <c r="A101" s="5" t="s">
        <v>166</v>
      </c>
      <c r="B101" s="13">
        <v>1</v>
      </c>
      <c r="C101" s="13">
        <v>1</v>
      </c>
      <c r="D101" s="13">
        <v>1</v>
      </c>
      <c r="E101" s="13">
        <v>1</v>
      </c>
      <c r="F101" s="13">
        <v>1</v>
      </c>
      <c r="G101" s="13">
        <v>1</v>
      </c>
    </row>
    <row r="102" spans="1:7" x14ac:dyDescent="0.3">
      <c r="A102" s="5" t="s">
        <v>167</v>
      </c>
      <c r="B102" s="13">
        <v>1</v>
      </c>
      <c r="C102" s="13">
        <v>1</v>
      </c>
      <c r="D102" s="13">
        <v>1</v>
      </c>
      <c r="E102" s="13">
        <v>1</v>
      </c>
      <c r="F102" s="13">
        <v>1</v>
      </c>
      <c r="G102" s="13">
        <v>1</v>
      </c>
    </row>
    <row r="103" spans="1:7" x14ac:dyDescent="0.3">
      <c r="A103" s="5" t="s">
        <v>168</v>
      </c>
      <c r="B103" s="13">
        <v>1</v>
      </c>
      <c r="C103" s="13">
        <v>1</v>
      </c>
      <c r="D103" s="13">
        <v>1</v>
      </c>
      <c r="E103" s="13">
        <v>1</v>
      </c>
      <c r="F103" s="13">
        <v>1</v>
      </c>
      <c r="G103" s="13">
        <v>1</v>
      </c>
    </row>
    <row r="104" spans="1:7" x14ac:dyDescent="0.3">
      <c r="A104" s="5" t="s">
        <v>170</v>
      </c>
      <c r="B104" s="13">
        <v>100</v>
      </c>
      <c r="C104" s="13">
        <v>100</v>
      </c>
      <c r="D104" s="13">
        <v>100</v>
      </c>
      <c r="E104" s="13">
        <v>100</v>
      </c>
      <c r="F104" s="13">
        <v>100</v>
      </c>
      <c r="G104" s="13">
        <v>100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1357F2-BE8B-4F55-9104-632730646CC9}">
  <sheetPr codeName="Sheet9"/>
  <dimension ref="A1:J101"/>
  <sheetViews>
    <sheetView topLeftCell="A2" zoomScale="48" workbookViewId="0">
      <selection activeCell="R25" sqref="R25"/>
    </sheetView>
  </sheetViews>
  <sheetFormatPr defaultRowHeight="14.4" x14ac:dyDescent="0.3"/>
  <cols>
    <col min="1" max="1" width="11.88671875" customWidth="1"/>
    <col min="2" max="2" width="12.109375" bestFit="1" customWidth="1"/>
    <col min="3" max="3" width="16" customWidth="1"/>
    <col min="4" max="4" width="21" customWidth="1"/>
    <col min="5" max="5" width="18.5546875" customWidth="1"/>
    <col min="6" max="6" width="17.77734375" customWidth="1"/>
    <col min="7" max="7" width="19" customWidth="1"/>
    <col min="8" max="8" width="15.77734375" customWidth="1"/>
    <col min="9" max="9" width="16.77734375" customWidth="1"/>
    <col min="10" max="10" width="10.77734375" customWidth="1"/>
  </cols>
  <sheetData>
    <row r="1" spans="1:10" x14ac:dyDescent="0.3">
      <c r="A1" s="1" t="s">
        <v>22</v>
      </c>
      <c r="B1" s="1" t="s">
        <v>23</v>
      </c>
      <c r="C1" s="1" t="s">
        <v>24</v>
      </c>
      <c r="D1" s="1" t="s">
        <v>25</v>
      </c>
      <c r="E1" s="1" t="s">
        <v>26</v>
      </c>
      <c r="F1" s="1" t="s">
        <v>27</v>
      </c>
      <c r="G1" s="1" t="s">
        <v>28</v>
      </c>
      <c r="H1" s="1" t="s">
        <v>29</v>
      </c>
      <c r="I1" s="1" t="s">
        <v>30</v>
      </c>
      <c r="J1" s="1" t="s">
        <v>31</v>
      </c>
    </row>
    <row r="2" spans="1:10" x14ac:dyDescent="0.3">
      <c r="A2" s="2" t="s">
        <v>32</v>
      </c>
      <c r="B2" s="3">
        <v>45292</v>
      </c>
      <c r="C2" s="2" t="s">
        <v>33</v>
      </c>
      <c r="D2" s="2" t="s">
        <v>34</v>
      </c>
      <c r="E2" s="2" t="s">
        <v>35</v>
      </c>
      <c r="F2" s="2" t="s">
        <v>36</v>
      </c>
      <c r="G2" s="2" t="s">
        <v>37</v>
      </c>
      <c r="H2" s="2" t="s">
        <v>38</v>
      </c>
      <c r="I2" s="2" t="s">
        <v>39</v>
      </c>
      <c r="J2" s="2">
        <v>0</v>
      </c>
    </row>
    <row r="3" spans="1:10" x14ac:dyDescent="0.3">
      <c r="A3" s="2" t="s">
        <v>40</v>
      </c>
      <c r="B3" s="3">
        <v>45380</v>
      </c>
      <c r="C3" s="2" t="s">
        <v>41</v>
      </c>
      <c r="D3" s="2" t="s">
        <v>34</v>
      </c>
      <c r="E3" s="2" t="s">
        <v>35</v>
      </c>
      <c r="F3" s="2" t="s">
        <v>42</v>
      </c>
      <c r="G3" s="2" t="s">
        <v>43</v>
      </c>
      <c r="H3" s="2" t="s">
        <v>38</v>
      </c>
      <c r="I3" s="2" t="s">
        <v>44</v>
      </c>
      <c r="J3" s="2">
        <v>0</v>
      </c>
    </row>
    <row r="4" spans="1:10" x14ac:dyDescent="0.3">
      <c r="A4" s="2" t="s">
        <v>45</v>
      </c>
      <c r="B4" s="3">
        <v>45296</v>
      </c>
      <c r="C4" s="2" t="s">
        <v>41</v>
      </c>
      <c r="D4" s="2" t="s">
        <v>34</v>
      </c>
      <c r="E4" s="2" t="s">
        <v>46</v>
      </c>
      <c r="F4" s="2" t="s">
        <v>47</v>
      </c>
      <c r="G4" s="2" t="s">
        <v>48</v>
      </c>
      <c r="H4" s="2" t="s">
        <v>49</v>
      </c>
      <c r="I4" s="2" t="s">
        <v>39</v>
      </c>
      <c r="J4" s="2">
        <v>3</v>
      </c>
    </row>
    <row r="5" spans="1:10" x14ac:dyDescent="0.3">
      <c r="A5" s="2" t="s">
        <v>50</v>
      </c>
      <c r="B5" s="3">
        <v>45445</v>
      </c>
      <c r="C5" s="2" t="s">
        <v>51</v>
      </c>
      <c r="D5" s="2" t="s">
        <v>52</v>
      </c>
      <c r="E5" s="2" t="s">
        <v>53</v>
      </c>
      <c r="F5" s="2" t="s">
        <v>36</v>
      </c>
      <c r="G5" s="2" t="s">
        <v>37</v>
      </c>
      <c r="H5" s="2" t="s">
        <v>49</v>
      </c>
      <c r="I5" s="2" t="s">
        <v>54</v>
      </c>
      <c r="J5" s="2">
        <v>4</v>
      </c>
    </row>
    <row r="6" spans="1:10" x14ac:dyDescent="0.3">
      <c r="A6" s="2" t="s">
        <v>55</v>
      </c>
      <c r="B6" s="3">
        <v>45350</v>
      </c>
      <c r="C6" s="2" t="s">
        <v>56</v>
      </c>
      <c r="D6" s="2" t="s">
        <v>57</v>
      </c>
      <c r="E6" s="2" t="s">
        <v>35</v>
      </c>
      <c r="F6" s="2" t="s">
        <v>36</v>
      </c>
      <c r="G6" s="2" t="s">
        <v>43</v>
      </c>
      <c r="H6" s="2" t="s">
        <v>38</v>
      </c>
      <c r="I6" s="2" t="s">
        <v>58</v>
      </c>
      <c r="J6" s="2">
        <v>0</v>
      </c>
    </row>
    <row r="7" spans="1:10" x14ac:dyDescent="0.3">
      <c r="A7" s="2" t="s">
        <v>59</v>
      </c>
      <c r="B7" s="3">
        <v>45399</v>
      </c>
      <c r="C7" s="2" t="s">
        <v>56</v>
      </c>
      <c r="D7" s="2" t="s">
        <v>57</v>
      </c>
      <c r="E7" s="2" t="s">
        <v>60</v>
      </c>
      <c r="F7" s="2" t="s">
        <v>61</v>
      </c>
      <c r="G7" s="2" t="s">
        <v>43</v>
      </c>
      <c r="H7" s="2" t="s">
        <v>62</v>
      </c>
      <c r="I7" s="2" t="s">
        <v>63</v>
      </c>
      <c r="J7" s="2">
        <v>4</v>
      </c>
    </row>
    <row r="8" spans="1:10" x14ac:dyDescent="0.3">
      <c r="A8" s="2" t="s">
        <v>64</v>
      </c>
      <c r="B8" s="3">
        <v>45338</v>
      </c>
      <c r="C8" s="2" t="s">
        <v>65</v>
      </c>
      <c r="D8" s="2" t="s">
        <v>57</v>
      </c>
      <c r="E8" s="2" t="s">
        <v>60</v>
      </c>
      <c r="F8" s="2" t="s">
        <v>61</v>
      </c>
      <c r="G8" s="2" t="s">
        <v>37</v>
      </c>
      <c r="H8" s="2" t="s">
        <v>62</v>
      </c>
      <c r="I8" s="2" t="s">
        <v>66</v>
      </c>
      <c r="J8" s="2">
        <v>2</v>
      </c>
    </row>
    <row r="9" spans="1:10" x14ac:dyDescent="0.3">
      <c r="A9" s="2" t="s">
        <v>67</v>
      </c>
      <c r="B9" s="3">
        <v>45369</v>
      </c>
      <c r="C9" s="2" t="s">
        <v>33</v>
      </c>
      <c r="D9" s="2" t="s">
        <v>34</v>
      </c>
      <c r="E9" s="2" t="s">
        <v>60</v>
      </c>
      <c r="F9" s="2" t="s">
        <v>42</v>
      </c>
      <c r="G9" s="2" t="s">
        <v>68</v>
      </c>
      <c r="H9" s="2" t="s">
        <v>38</v>
      </c>
      <c r="I9" s="2" t="s">
        <v>66</v>
      </c>
      <c r="J9" s="2">
        <v>5</v>
      </c>
    </row>
    <row r="10" spans="1:10" x14ac:dyDescent="0.3">
      <c r="A10" s="2" t="s">
        <v>69</v>
      </c>
      <c r="B10" s="3">
        <v>45425</v>
      </c>
      <c r="C10" s="2" t="s">
        <v>41</v>
      </c>
      <c r="D10" s="2" t="s">
        <v>52</v>
      </c>
      <c r="E10" s="2" t="s">
        <v>60</v>
      </c>
      <c r="F10" s="2" t="s">
        <v>47</v>
      </c>
      <c r="G10" s="2" t="s">
        <v>48</v>
      </c>
      <c r="H10" s="2" t="s">
        <v>62</v>
      </c>
      <c r="I10" s="2" t="s">
        <v>58</v>
      </c>
      <c r="J10" s="2">
        <v>2</v>
      </c>
    </row>
    <row r="11" spans="1:10" x14ac:dyDescent="0.3">
      <c r="A11" s="2" t="s">
        <v>70</v>
      </c>
      <c r="B11" s="3">
        <v>45307</v>
      </c>
      <c r="C11" s="2" t="s">
        <v>71</v>
      </c>
      <c r="D11" s="2" t="s">
        <v>52</v>
      </c>
      <c r="E11" s="2" t="s">
        <v>72</v>
      </c>
      <c r="F11" s="2" t="s">
        <v>36</v>
      </c>
      <c r="G11" s="2" t="s">
        <v>48</v>
      </c>
      <c r="H11" s="2" t="s">
        <v>73</v>
      </c>
      <c r="I11" s="2" t="s">
        <v>66</v>
      </c>
      <c r="J11" s="2">
        <v>5</v>
      </c>
    </row>
    <row r="12" spans="1:10" x14ac:dyDescent="0.3">
      <c r="A12" s="2" t="s">
        <v>74</v>
      </c>
      <c r="B12" s="3">
        <v>45299</v>
      </c>
      <c r="C12" s="2" t="s">
        <v>51</v>
      </c>
      <c r="D12" s="2" t="s">
        <v>75</v>
      </c>
      <c r="E12" s="2" t="s">
        <v>35</v>
      </c>
      <c r="F12" s="2" t="s">
        <v>36</v>
      </c>
      <c r="G12" s="2" t="s">
        <v>43</v>
      </c>
      <c r="H12" s="2" t="s">
        <v>49</v>
      </c>
      <c r="I12" s="2" t="s">
        <v>39</v>
      </c>
      <c r="J12" s="2">
        <v>0</v>
      </c>
    </row>
    <row r="13" spans="1:10" x14ac:dyDescent="0.3">
      <c r="A13" s="2" t="s">
        <v>76</v>
      </c>
      <c r="B13" s="3">
        <v>45468</v>
      </c>
      <c r="C13" s="2" t="s">
        <v>71</v>
      </c>
      <c r="D13" s="2" t="s">
        <v>77</v>
      </c>
      <c r="E13" s="2" t="s">
        <v>60</v>
      </c>
      <c r="F13" s="2" t="s">
        <v>36</v>
      </c>
      <c r="G13" s="2" t="s">
        <v>48</v>
      </c>
      <c r="H13" s="2" t="s">
        <v>73</v>
      </c>
      <c r="I13" s="2" t="s">
        <v>39</v>
      </c>
      <c r="J13" s="2">
        <v>3</v>
      </c>
    </row>
    <row r="14" spans="1:10" x14ac:dyDescent="0.3">
      <c r="A14" s="2" t="s">
        <v>78</v>
      </c>
      <c r="B14" s="3">
        <v>45380</v>
      </c>
      <c r="C14" s="2" t="s">
        <v>56</v>
      </c>
      <c r="D14" s="2" t="s">
        <v>77</v>
      </c>
      <c r="E14" s="2" t="s">
        <v>46</v>
      </c>
      <c r="F14" s="2" t="s">
        <v>61</v>
      </c>
      <c r="G14" s="2" t="s">
        <v>68</v>
      </c>
      <c r="H14" s="2" t="s">
        <v>73</v>
      </c>
      <c r="I14" s="2" t="s">
        <v>66</v>
      </c>
      <c r="J14" s="2">
        <v>1</v>
      </c>
    </row>
    <row r="15" spans="1:10" x14ac:dyDescent="0.3">
      <c r="A15" s="2" t="s">
        <v>79</v>
      </c>
      <c r="B15" s="3">
        <v>45384</v>
      </c>
      <c r="C15" s="2" t="s">
        <v>80</v>
      </c>
      <c r="D15" s="2" t="s">
        <v>34</v>
      </c>
      <c r="E15" s="2" t="s">
        <v>81</v>
      </c>
      <c r="F15" s="2" t="s">
        <v>42</v>
      </c>
      <c r="G15" s="2" t="s">
        <v>37</v>
      </c>
      <c r="H15" s="2" t="s">
        <v>73</v>
      </c>
      <c r="I15" s="2" t="s">
        <v>63</v>
      </c>
      <c r="J15" s="2">
        <v>2</v>
      </c>
    </row>
    <row r="16" spans="1:10" x14ac:dyDescent="0.3">
      <c r="A16" s="2" t="s">
        <v>82</v>
      </c>
      <c r="B16" s="3">
        <v>45378</v>
      </c>
      <c r="C16" s="2" t="s">
        <v>80</v>
      </c>
      <c r="D16" s="2" t="s">
        <v>77</v>
      </c>
      <c r="E16" s="2" t="s">
        <v>72</v>
      </c>
      <c r="F16" s="2" t="s">
        <v>42</v>
      </c>
      <c r="G16" s="2" t="s">
        <v>48</v>
      </c>
      <c r="H16" s="2" t="s">
        <v>38</v>
      </c>
      <c r="I16" s="2" t="s">
        <v>54</v>
      </c>
      <c r="J16" s="2">
        <v>1</v>
      </c>
    </row>
    <row r="17" spans="1:10" x14ac:dyDescent="0.3">
      <c r="A17" s="2" t="s">
        <v>83</v>
      </c>
      <c r="B17" s="3">
        <v>45431</v>
      </c>
      <c r="C17" s="2" t="s">
        <v>80</v>
      </c>
      <c r="D17" s="2" t="s">
        <v>34</v>
      </c>
      <c r="E17" s="2" t="s">
        <v>53</v>
      </c>
      <c r="F17" s="2" t="s">
        <v>42</v>
      </c>
      <c r="G17" s="2" t="s">
        <v>43</v>
      </c>
      <c r="H17" s="2" t="s">
        <v>73</v>
      </c>
      <c r="I17" s="2" t="s">
        <v>44</v>
      </c>
      <c r="J17" s="2">
        <v>5</v>
      </c>
    </row>
    <row r="18" spans="1:10" x14ac:dyDescent="0.3">
      <c r="A18" s="2" t="s">
        <v>84</v>
      </c>
      <c r="B18" s="3">
        <v>45354</v>
      </c>
      <c r="C18" s="2" t="s">
        <v>33</v>
      </c>
      <c r="D18" s="2" t="s">
        <v>52</v>
      </c>
      <c r="E18" s="2" t="s">
        <v>72</v>
      </c>
      <c r="F18" s="2" t="s">
        <v>47</v>
      </c>
      <c r="G18" s="2" t="s">
        <v>48</v>
      </c>
      <c r="H18" s="2" t="s">
        <v>38</v>
      </c>
      <c r="I18" s="2" t="s">
        <v>44</v>
      </c>
      <c r="J18" s="2">
        <v>4</v>
      </c>
    </row>
    <row r="19" spans="1:10" x14ac:dyDescent="0.3">
      <c r="A19" s="2" t="s">
        <v>85</v>
      </c>
      <c r="B19" s="3">
        <v>45359</v>
      </c>
      <c r="C19" s="2" t="s">
        <v>86</v>
      </c>
      <c r="D19" s="2" t="s">
        <v>34</v>
      </c>
      <c r="E19" s="2" t="s">
        <v>60</v>
      </c>
      <c r="F19" s="2" t="s">
        <v>47</v>
      </c>
      <c r="G19" s="2" t="s">
        <v>48</v>
      </c>
      <c r="H19" s="2" t="s">
        <v>38</v>
      </c>
      <c r="I19" s="2" t="s">
        <v>54</v>
      </c>
      <c r="J19" s="2">
        <v>3</v>
      </c>
    </row>
    <row r="20" spans="1:10" x14ac:dyDescent="0.3">
      <c r="A20" s="2" t="s">
        <v>87</v>
      </c>
      <c r="B20" s="3">
        <v>45469</v>
      </c>
      <c r="C20" s="2" t="s">
        <v>65</v>
      </c>
      <c r="D20" s="2" t="s">
        <v>34</v>
      </c>
      <c r="E20" s="2" t="s">
        <v>72</v>
      </c>
      <c r="F20" s="2" t="s">
        <v>61</v>
      </c>
      <c r="G20" s="2" t="s">
        <v>68</v>
      </c>
      <c r="H20" s="2" t="s">
        <v>73</v>
      </c>
      <c r="I20" s="2" t="s">
        <v>63</v>
      </c>
      <c r="J20" s="2">
        <v>4</v>
      </c>
    </row>
    <row r="21" spans="1:10" x14ac:dyDescent="0.3">
      <c r="A21" s="2" t="s">
        <v>88</v>
      </c>
      <c r="B21" s="3">
        <v>45317</v>
      </c>
      <c r="C21" s="2" t="s">
        <v>65</v>
      </c>
      <c r="D21" s="2" t="s">
        <v>52</v>
      </c>
      <c r="E21" s="2" t="s">
        <v>46</v>
      </c>
      <c r="F21" s="2" t="s">
        <v>61</v>
      </c>
      <c r="G21" s="2" t="s">
        <v>43</v>
      </c>
      <c r="H21" s="2" t="s">
        <v>38</v>
      </c>
      <c r="I21" s="2" t="s">
        <v>54</v>
      </c>
      <c r="J21" s="2">
        <v>5</v>
      </c>
    </row>
    <row r="22" spans="1:10" x14ac:dyDescent="0.3">
      <c r="A22" s="2" t="s">
        <v>89</v>
      </c>
      <c r="B22" s="3">
        <v>45327</v>
      </c>
      <c r="C22" s="2" t="s">
        <v>51</v>
      </c>
      <c r="D22" s="2" t="s">
        <v>57</v>
      </c>
      <c r="E22" s="2" t="s">
        <v>72</v>
      </c>
      <c r="F22" s="2" t="s">
        <v>47</v>
      </c>
      <c r="G22" s="2" t="s">
        <v>43</v>
      </c>
      <c r="H22" s="2" t="s">
        <v>62</v>
      </c>
      <c r="I22" s="2" t="s">
        <v>44</v>
      </c>
      <c r="J22" s="2">
        <v>5</v>
      </c>
    </row>
    <row r="23" spans="1:10" x14ac:dyDescent="0.3">
      <c r="A23" s="2" t="s">
        <v>90</v>
      </c>
      <c r="B23" s="3">
        <v>45450</v>
      </c>
      <c r="C23" s="2" t="s">
        <v>33</v>
      </c>
      <c r="D23" s="2" t="s">
        <v>75</v>
      </c>
      <c r="E23" s="2" t="s">
        <v>53</v>
      </c>
      <c r="F23" s="2" t="s">
        <v>42</v>
      </c>
      <c r="G23" s="2" t="s">
        <v>48</v>
      </c>
      <c r="H23" s="2" t="s">
        <v>49</v>
      </c>
      <c r="I23" s="2" t="s">
        <v>58</v>
      </c>
      <c r="J23" s="2">
        <v>4</v>
      </c>
    </row>
    <row r="24" spans="1:10" x14ac:dyDescent="0.3">
      <c r="A24" s="2" t="s">
        <v>91</v>
      </c>
      <c r="B24" s="3">
        <v>45378</v>
      </c>
      <c r="C24" s="2" t="s">
        <v>80</v>
      </c>
      <c r="D24" s="2" t="s">
        <v>52</v>
      </c>
      <c r="E24" s="2" t="s">
        <v>46</v>
      </c>
      <c r="F24" s="2" t="s">
        <v>61</v>
      </c>
      <c r="G24" s="2" t="s">
        <v>48</v>
      </c>
      <c r="H24" s="2" t="s">
        <v>73</v>
      </c>
      <c r="I24" s="2" t="s">
        <v>58</v>
      </c>
      <c r="J24" s="2">
        <v>4</v>
      </c>
    </row>
    <row r="25" spans="1:10" x14ac:dyDescent="0.3">
      <c r="A25" s="2" t="s">
        <v>92</v>
      </c>
      <c r="B25" s="3">
        <v>45346</v>
      </c>
      <c r="C25" s="2" t="s">
        <v>41</v>
      </c>
      <c r="D25" s="2" t="s">
        <v>75</v>
      </c>
      <c r="E25" s="2" t="s">
        <v>53</v>
      </c>
      <c r="F25" s="2" t="s">
        <v>61</v>
      </c>
      <c r="G25" s="2" t="s">
        <v>37</v>
      </c>
      <c r="H25" s="2" t="s">
        <v>38</v>
      </c>
      <c r="I25" s="2" t="s">
        <v>39</v>
      </c>
      <c r="J25" s="2">
        <v>0</v>
      </c>
    </row>
    <row r="26" spans="1:10" x14ac:dyDescent="0.3">
      <c r="A26" s="2" t="s">
        <v>93</v>
      </c>
      <c r="B26" s="3">
        <v>45447</v>
      </c>
      <c r="C26" s="2" t="s">
        <v>65</v>
      </c>
      <c r="D26" s="2" t="s">
        <v>57</v>
      </c>
      <c r="E26" s="2" t="s">
        <v>72</v>
      </c>
      <c r="F26" s="2" t="s">
        <v>61</v>
      </c>
      <c r="G26" s="2" t="s">
        <v>43</v>
      </c>
      <c r="H26" s="2" t="s">
        <v>49</v>
      </c>
      <c r="I26" s="2" t="s">
        <v>63</v>
      </c>
      <c r="J26" s="2">
        <v>1</v>
      </c>
    </row>
    <row r="27" spans="1:10" x14ac:dyDescent="0.3">
      <c r="A27" s="2" t="s">
        <v>94</v>
      </c>
      <c r="B27" s="3">
        <v>45442</v>
      </c>
      <c r="C27" s="2" t="s">
        <v>51</v>
      </c>
      <c r="D27" s="2" t="s">
        <v>52</v>
      </c>
      <c r="E27" s="2" t="s">
        <v>81</v>
      </c>
      <c r="F27" s="2" t="s">
        <v>36</v>
      </c>
      <c r="G27" s="2" t="s">
        <v>43</v>
      </c>
      <c r="H27" s="2" t="s">
        <v>38</v>
      </c>
      <c r="I27" s="2" t="s">
        <v>58</v>
      </c>
      <c r="J27" s="2">
        <v>0</v>
      </c>
    </row>
    <row r="28" spans="1:10" x14ac:dyDescent="0.3">
      <c r="A28" s="2" t="s">
        <v>95</v>
      </c>
      <c r="B28" s="3">
        <v>45386</v>
      </c>
      <c r="C28" s="2" t="s">
        <v>33</v>
      </c>
      <c r="D28" s="2" t="s">
        <v>77</v>
      </c>
      <c r="E28" s="2" t="s">
        <v>60</v>
      </c>
      <c r="F28" s="2" t="s">
        <v>47</v>
      </c>
      <c r="G28" s="2" t="s">
        <v>68</v>
      </c>
      <c r="H28" s="2" t="s">
        <v>49</v>
      </c>
      <c r="I28" s="2" t="s">
        <v>39</v>
      </c>
      <c r="J28" s="2">
        <v>0</v>
      </c>
    </row>
    <row r="29" spans="1:10" x14ac:dyDescent="0.3">
      <c r="A29" s="2" t="s">
        <v>96</v>
      </c>
      <c r="B29" s="3">
        <v>45422</v>
      </c>
      <c r="C29" s="2" t="s">
        <v>33</v>
      </c>
      <c r="D29" s="2" t="s">
        <v>34</v>
      </c>
      <c r="E29" s="2" t="s">
        <v>46</v>
      </c>
      <c r="F29" s="2" t="s">
        <v>42</v>
      </c>
      <c r="G29" s="2" t="s">
        <v>37</v>
      </c>
      <c r="H29" s="2" t="s">
        <v>73</v>
      </c>
      <c r="I29" s="2" t="s">
        <v>54</v>
      </c>
      <c r="J29" s="2">
        <v>4</v>
      </c>
    </row>
    <row r="30" spans="1:10" x14ac:dyDescent="0.3">
      <c r="A30" s="2" t="s">
        <v>97</v>
      </c>
      <c r="B30" s="3">
        <v>45353</v>
      </c>
      <c r="C30" s="2" t="s">
        <v>80</v>
      </c>
      <c r="D30" s="2" t="s">
        <v>57</v>
      </c>
      <c r="E30" s="2" t="s">
        <v>35</v>
      </c>
      <c r="F30" s="2" t="s">
        <v>61</v>
      </c>
      <c r="G30" s="2" t="s">
        <v>43</v>
      </c>
      <c r="H30" s="2" t="s">
        <v>73</v>
      </c>
      <c r="I30" s="2" t="s">
        <v>58</v>
      </c>
      <c r="J30" s="2">
        <v>4</v>
      </c>
    </row>
    <row r="31" spans="1:10" x14ac:dyDescent="0.3">
      <c r="A31" s="2" t="s">
        <v>98</v>
      </c>
      <c r="B31" s="3">
        <v>45398</v>
      </c>
      <c r="C31" s="2" t="s">
        <v>51</v>
      </c>
      <c r="D31" s="2" t="s">
        <v>77</v>
      </c>
      <c r="E31" s="2" t="s">
        <v>60</v>
      </c>
      <c r="F31" s="2" t="s">
        <v>42</v>
      </c>
      <c r="G31" s="2" t="s">
        <v>48</v>
      </c>
      <c r="H31" s="2" t="s">
        <v>73</v>
      </c>
      <c r="I31" s="2" t="s">
        <v>44</v>
      </c>
      <c r="J31" s="2">
        <v>0</v>
      </c>
    </row>
    <row r="32" spans="1:10" x14ac:dyDescent="0.3">
      <c r="A32" s="2" t="s">
        <v>99</v>
      </c>
      <c r="B32" s="3">
        <v>45452</v>
      </c>
      <c r="C32" s="2" t="s">
        <v>86</v>
      </c>
      <c r="D32" s="2" t="s">
        <v>75</v>
      </c>
      <c r="E32" s="2" t="s">
        <v>72</v>
      </c>
      <c r="F32" s="2" t="s">
        <v>61</v>
      </c>
      <c r="G32" s="2" t="s">
        <v>68</v>
      </c>
      <c r="H32" s="2" t="s">
        <v>73</v>
      </c>
      <c r="I32" s="2" t="s">
        <v>39</v>
      </c>
      <c r="J32" s="2">
        <v>5</v>
      </c>
    </row>
    <row r="33" spans="1:10" x14ac:dyDescent="0.3">
      <c r="A33" s="2" t="s">
        <v>100</v>
      </c>
      <c r="B33" s="3">
        <v>45347</v>
      </c>
      <c r="C33" s="2" t="s">
        <v>80</v>
      </c>
      <c r="D33" s="2" t="s">
        <v>77</v>
      </c>
      <c r="E33" s="2" t="s">
        <v>35</v>
      </c>
      <c r="F33" s="2" t="s">
        <v>61</v>
      </c>
      <c r="G33" s="2" t="s">
        <v>43</v>
      </c>
      <c r="H33" s="2" t="s">
        <v>49</v>
      </c>
      <c r="I33" s="2" t="s">
        <v>63</v>
      </c>
      <c r="J33" s="2">
        <v>2</v>
      </c>
    </row>
    <row r="34" spans="1:10" x14ac:dyDescent="0.3">
      <c r="A34" s="2" t="s">
        <v>101</v>
      </c>
      <c r="B34" s="3">
        <v>45467</v>
      </c>
      <c r="C34" s="2" t="s">
        <v>51</v>
      </c>
      <c r="D34" s="2" t="s">
        <v>75</v>
      </c>
      <c r="E34" s="2" t="s">
        <v>35</v>
      </c>
      <c r="F34" s="2" t="s">
        <v>47</v>
      </c>
      <c r="G34" s="2" t="s">
        <v>43</v>
      </c>
      <c r="H34" s="2" t="s">
        <v>49</v>
      </c>
      <c r="I34" s="2" t="s">
        <v>44</v>
      </c>
      <c r="J34" s="2">
        <v>1</v>
      </c>
    </row>
    <row r="35" spans="1:10" x14ac:dyDescent="0.3">
      <c r="A35" s="2" t="s">
        <v>102</v>
      </c>
      <c r="B35" s="3">
        <v>45403</v>
      </c>
      <c r="C35" s="2" t="s">
        <v>86</v>
      </c>
      <c r="D35" s="2" t="s">
        <v>57</v>
      </c>
      <c r="E35" s="2" t="s">
        <v>46</v>
      </c>
      <c r="F35" s="2" t="s">
        <v>36</v>
      </c>
      <c r="G35" s="2" t="s">
        <v>48</v>
      </c>
      <c r="H35" s="2" t="s">
        <v>62</v>
      </c>
      <c r="I35" s="2" t="s">
        <v>63</v>
      </c>
      <c r="J35" s="2">
        <v>1</v>
      </c>
    </row>
    <row r="36" spans="1:10" x14ac:dyDescent="0.3">
      <c r="A36" s="2" t="s">
        <v>103</v>
      </c>
      <c r="B36" s="3">
        <v>45293</v>
      </c>
      <c r="C36" s="2" t="s">
        <v>41</v>
      </c>
      <c r="D36" s="2" t="s">
        <v>34</v>
      </c>
      <c r="E36" s="2" t="s">
        <v>53</v>
      </c>
      <c r="F36" s="2" t="s">
        <v>36</v>
      </c>
      <c r="G36" s="2" t="s">
        <v>68</v>
      </c>
      <c r="H36" s="2" t="s">
        <v>73</v>
      </c>
      <c r="I36" s="2" t="s">
        <v>66</v>
      </c>
      <c r="J36" s="2">
        <v>3</v>
      </c>
    </row>
    <row r="37" spans="1:10" x14ac:dyDescent="0.3">
      <c r="A37" s="2" t="s">
        <v>104</v>
      </c>
      <c r="B37" s="3">
        <v>45436</v>
      </c>
      <c r="C37" s="2" t="s">
        <v>86</v>
      </c>
      <c r="D37" s="2" t="s">
        <v>57</v>
      </c>
      <c r="E37" s="2" t="s">
        <v>35</v>
      </c>
      <c r="F37" s="2" t="s">
        <v>36</v>
      </c>
      <c r="G37" s="2" t="s">
        <v>68</v>
      </c>
      <c r="H37" s="2" t="s">
        <v>38</v>
      </c>
      <c r="I37" s="2" t="s">
        <v>44</v>
      </c>
      <c r="J37" s="2">
        <v>4</v>
      </c>
    </row>
    <row r="38" spans="1:10" x14ac:dyDescent="0.3">
      <c r="A38" s="2" t="s">
        <v>105</v>
      </c>
      <c r="B38" s="3">
        <v>45317</v>
      </c>
      <c r="C38" s="2" t="s">
        <v>71</v>
      </c>
      <c r="D38" s="2" t="s">
        <v>75</v>
      </c>
      <c r="E38" s="2" t="s">
        <v>72</v>
      </c>
      <c r="F38" s="2" t="s">
        <v>36</v>
      </c>
      <c r="G38" s="2" t="s">
        <v>48</v>
      </c>
      <c r="H38" s="2" t="s">
        <v>62</v>
      </c>
      <c r="I38" s="2" t="s">
        <v>39</v>
      </c>
      <c r="J38" s="2">
        <v>5</v>
      </c>
    </row>
    <row r="39" spans="1:10" x14ac:dyDescent="0.3">
      <c r="A39" s="2" t="s">
        <v>106</v>
      </c>
      <c r="B39" s="3">
        <v>45314</v>
      </c>
      <c r="C39" s="2" t="s">
        <v>56</v>
      </c>
      <c r="D39" s="2" t="s">
        <v>34</v>
      </c>
      <c r="E39" s="2" t="s">
        <v>35</v>
      </c>
      <c r="F39" s="2" t="s">
        <v>47</v>
      </c>
      <c r="G39" s="2" t="s">
        <v>48</v>
      </c>
      <c r="H39" s="2" t="s">
        <v>73</v>
      </c>
      <c r="I39" s="2" t="s">
        <v>66</v>
      </c>
      <c r="J39" s="2">
        <v>0</v>
      </c>
    </row>
    <row r="40" spans="1:10" x14ac:dyDescent="0.3">
      <c r="A40" s="2" t="s">
        <v>107</v>
      </c>
      <c r="B40" s="3">
        <v>45408</v>
      </c>
      <c r="C40" s="2" t="s">
        <v>51</v>
      </c>
      <c r="D40" s="2" t="s">
        <v>57</v>
      </c>
      <c r="E40" s="2" t="s">
        <v>60</v>
      </c>
      <c r="F40" s="2" t="s">
        <v>42</v>
      </c>
      <c r="G40" s="2" t="s">
        <v>48</v>
      </c>
      <c r="H40" s="2" t="s">
        <v>49</v>
      </c>
      <c r="I40" s="2" t="s">
        <v>66</v>
      </c>
      <c r="J40" s="2">
        <v>2</v>
      </c>
    </row>
    <row r="41" spans="1:10" x14ac:dyDescent="0.3">
      <c r="A41" s="2" t="s">
        <v>108</v>
      </c>
      <c r="B41" s="3">
        <v>45365</v>
      </c>
      <c r="C41" s="2" t="s">
        <v>33</v>
      </c>
      <c r="D41" s="2" t="s">
        <v>34</v>
      </c>
      <c r="E41" s="2" t="s">
        <v>35</v>
      </c>
      <c r="F41" s="2" t="s">
        <v>61</v>
      </c>
      <c r="G41" s="2" t="s">
        <v>43</v>
      </c>
      <c r="H41" s="2" t="s">
        <v>49</v>
      </c>
      <c r="I41" s="2" t="s">
        <v>58</v>
      </c>
      <c r="J41" s="2">
        <v>1</v>
      </c>
    </row>
    <row r="42" spans="1:10" x14ac:dyDescent="0.3">
      <c r="A42" s="2" t="s">
        <v>109</v>
      </c>
      <c r="B42" s="3">
        <v>45301</v>
      </c>
      <c r="C42" s="2" t="s">
        <v>33</v>
      </c>
      <c r="D42" s="2" t="s">
        <v>57</v>
      </c>
      <c r="E42" s="2" t="s">
        <v>35</v>
      </c>
      <c r="F42" s="2" t="s">
        <v>36</v>
      </c>
      <c r="G42" s="2" t="s">
        <v>68</v>
      </c>
      <c r="H42" s="2" t="s">
        <v>62</v>
      </c>
      <c r="I42" s="2" t="s">
        <v>54</v>
      </c>
      <c r="J42" s="2">
        <v>4</v>
      </c>
    </row>
    <row r="43" spans="1:10" x14ac:dyDescent="0.3">
      <c r="A43" s="2" t="s">
        <v>110</v>
      </c>
      <c r="B43" s="3">
        <v>45410</v>
      </c>
      <c r="C43" s="2" t="s">
        <v>41</v>
      </c>
      <c r="D43" s="2" t="s">
        <v>52</v>
      </c>
      <c r="E43" s="2" t="s">
        <v>60</v>
      </c>
      <c r="F43" s="2" t="s">
        <v>42</v>
      </c>
      <c r="G43" s="2" t="s">
        <v>48</v>
      </c>
      <c r="H43" s="2" t="s">
        <v>62</v>
      </c>
      <c r="I43" s="2" t="s">
        <v>66</v>
      </c>
      <c r="J43" s="2">
        <v>2</v>
      </c>
    </row>
    <row r="44" spans="1:10" x14ac:dyDescent="0.3">
      <c r="A44" s="2" t="s">
        <v>111</v>
      </c>
      <c r="B44" s="3">
        <v>45314</v>
      </c>
      <c r="C44" s="2" t="s">
        <v>56</v>
      </c>
      <c r="D44" s="2" t="s">
        <v>34</v>
      </c>
      <c r="E44" s="2" t="s">
        <v>46</v>
      </c>
      <c r="F44" s="2" t="s">
        <v>47</v>
      </c>
      <c r="G44" s="2" t="s">
        <v>48</v>
      </c>
      <c r="H44" s="2" t="s">
        <v>62</v>
      </c>
      <c r="I44" s="2" t="s">
        <v>54</v>
      </c>
      <c r="J44" s="2">
        <v>2</v>
      </c>
    </row>
    <row r="45" spans="1:10" x14ac:dyDescent="0.3">
      <c r="A45" s="2" t="s">
        <v>112</v>
      </c>
      <c r="B45" s="3">
        <v>45370</v>
      </c>
      <c r="C45" s="2" t="s">
        <v>33</v>
      </c>
      <c r="D45" s="2" t="s">
        <v>57</v>
      </c>
      <c r="E45" s="2" t="s">
        <v>60</v>
      </c>
      <c r="F45" s="2" t="s">
        <v>47</v>
      </c>
      <c r="G45" s="2" t="s">
        <v>68</v>
      </c>
      <c r="H45" s="2" t="s">
        <v>49</v>
      </c>
      <c r="I45" s="2" t="s">
        <v>58</v>
      </c>
      <c r="J45" s="2">
        <v>4</v>
      </c>
    </row>
    <row r="46" spans="1:10" x14ac:dyDescent="0.3">
      <c r="A46" s="2" t="s">
        <v>113</v>
      </c>
      <c r="B46" s="3">
        <v>45371</v>
      </c>
      <c r="C46" s="2" t="s">
        <v>33</v>
      </c>
      <c r="D46" s="2" t="s">
        <v>34</v>
      </c>
      <c r="E46" s="2" t="s">
        <v>81</v>
      </c>
      <c r="F46" s="2" t="s">
        <v>36</v>
      </c>
      <c r="G46" s="2" t="s">
        <v>68</v>
      </c>
      <c r="H46" s="2" t="s">
        <v>73</v>
      </c>
      <c r="I46" s="2" t="s">
        <v>54</v>
      </c>
      <c r="J46" s="2">
        <v>3</v>
      </c>
    </row>
    <row r="47" spans="1:10" x14ac:dyDescent="0.3">
      <c r="A47" s="2" t="s">
        <v>114</v>
      </c>
      <c r="B47" s="3">
        <v>45417</v>
      </c>
      <c r="C47" s="2" t="s">
        <v>41</v>
      </c>
      <c r="D47" s="2" t="s">
        <v>57</v>
      </c>
      <c r="E47" s="2" t="s">
        <v>72</v>
      </c>
      <c r="F47" s="2" t="s">
        <v>61</v>
      </c>
      <c r="G47" s="2" t="s">
        <v>37</v>
      </c>
      <c r="H47" s="2" t="s">
        <v>62</v>
      </c>
      <c r="I47" s="2" t="s">
        <v>66</v>
      </c>
      <c r="J47" s="2">
        <v>0</v>
      </c>
    </row>
    <row r="48" spans="1:10" x14ac:dyDescent="0.3">
      <c r="A48" s="2" t="s">
        <v>115</v>
      </c>
      <c r="B48" s="3">
        <v>45402</v>
      </c>
      <c r="C48" s="2" t="s">
        <v>33</v>
      </c>
      <c r="D48" s="2" t="s">
        <v>34</v>
      </c>
      <c r="E48" s="2" t="s">
        <v>60</v>
      </c>
      <c r="F48" s="2" t="s">
        <v>42</v>
      </c>
      <c r="G48" s="2" t="s">
        <v>37</v>
      </c>
      <c r="H48" s="2" t="s">
        <v>73</v>
      </c>
      <c r="I48" s="2" t="s">
        <v>39</v>
      </c>
      <c r="J48" s="2">
        <v>1</v>
      </c>
    </row>
    <row r="49" spans="1:10" x14ac:dyDescent="0.3">
      <c r="A49" s="2" t="s">
        <v>116</v>
      </c>
      <c r="B49" s="3">
        <v>45466</v>
      </c>
      <c r="C49" s="2" t="s">
        <v>80</v>
      </c>
      <c r="D49" s="2" t="s">
        <v>57</v>
      </c>
      <c r="E49" s="2" t="s">
        <v>72</v>
      </c>
      <c r="F49" s="2" t="s">
        <v>61</v>
      </c>
      <c r="G49" s="2" t="s">
        <v>68</v>
      </c>
      <c r="H49" s="2" t="s">
        <v>49</v>
      </c>
      <c r="I49" s="2" t="s">
        <v>63</v>
      </c>
      <c r="J49" s="2">
        <v>0</v>
      </c>
    </row>
    <row r="50" spans="1:10" x14ac:dyDescent="0.3">
      <c r="A50" s="2" t="s">
        <v>117</v>
      </c>
      <c r="B50" s="3">
        <v>45369</v>
      </c>
      <c r="C50" s="2" t="s">
        <v>86</v>
      </c>
      <c r="D50" s="2" t="s">
        <v>52</v>
      </c>
      <c r="E50" s="2" t="s">
        <v>72</v>
      </c>
      <c r="F50" s="2" t="s">
        <v>36</v>
      </c>
      <c r="G50" s="2" t="s">
        <v>37</v>
      </c>
      <c r="H50" s="2" t="s">
        <v>38</v>
      </c>
      <c r="I50" s="2" t="s">
        <v>58</v>
      </c>
      <c r="J50" s="2">
        <v>5</v>
      </c>
    </row>
    <row r="51" spans="1:10" x14ac:dyDescent="0.3">
      <c r="A51" s="2" t="s">
        <v>118</v>
      </c>
      <c r="B51" s="3">
        <v>45436</v>
      </c>
      <c r="C51" s="2" t="s">
        <v>56</v>
      </c>
      <c r="D51" s="2" t="s">
        <v>77</v>
      </c>
      <c r="E51" s="2" t="s">
        <v>53</v>
      </c>
      <c r="F51" s="2" t="s">
        <v>42</v>
      </c>
      <c r="G51" s="2" t="s">
        <v>43</v>
      </c>
      <c r="H51" s="2" t="s">
        <v>62</v>
      </c>
      <c r="I51" s="2" t="s">
        <v>66</v>
      </c>
      <c r="J51" s="2">
        <v>2</v>
      </c>
    </row>
    <row r="52" spans="1:10" x14ac:dyDescent="0.3">
      <c r="A52" s="2" t="s">
        <v>119</v>
      </c>
      <c r="B52" s="3">
        <v>45383</v>
      </c>
      <c r="C52" s="2" t="s">
        <v>71</v>
      </c>
      <c r="D52" s="2" t="s">
        <v>52</v>
      </c>
      <c r="E52" s="2" t="s">
        <v>46</v>
      </c>
      <c r="F52" s="2" t="s">
        <v>47</v>
      </c>
      <c r="G52" s="2" t="s">
        <v>37</v>
      </c>
      <c r="H52" s="2" t="s">
        <v>38</v>
      </c>
      <c r="I52" s="2" t="s">
        <v>63</v>
      </c>
      <c r="J52" s="2">
        <v>0</v>
      </c>
    </row>
    <row r="53" spans="1:10" x14ac:dyDescent="0.3">
      <c r="A53" s="2" t="s">
        <v>120</v>
      </c>
      <c r="B53" s="3">
        <v>45347</v>
      </c>
      <c r="C53" s="2" t="s">
        <v>65</v>
      </c>
      <c r="D53" s="2" t="s">
        <v>57</v>
      </c>
      <c r="E53" s="2" t="s">
        <v>53</v>
      </c>
      <c r="F53" s="2" t="s">
        <v>42</v>
      </c>
      <c r="G53" s="2" t="s">
        <v>43</v>
      </c>
      <c r="H53" s="2" t="s">
        <v>73</v>
      </c>
      <c r="I53" s="2" t="s">
        <v>58</v>
      </c>
      <c r="J53" s="2">
        <v>2</v>
      </c>
    </row>
    <row r="54" spans="1:10" x14ac:dyDescent="0.3">
      <c r="A54" s="2" t="s">
        <v>121</v>
      </c>
      <c r="B54" s="3">
        <v>45311</v>
      </c>
      <c r="C54" s="2" t="s">
        <v>86</v>
      </c>
      <c r="D54" s="2" t="s">
        <v>77</v>
      </c>
      <c r="E54" s="2" t="s">
        <v>60</v>
      </c>
      <c r="F54" s="2" t="s">
        <v>47</v>
      </c>
      <c r="G54" s="2" t="s">
        <v>48</v>
      </c>
      <c r="H54" s="2" t="s">
        <v>38</v>
      </c>
      <c r="I54" s="2" t="s">
        <v>63</v>
      </c>
      <c r="J54" s="2">
        <v>3</v>
      </c>
    </row>
    <row r="55" spans="1:10" x14ac:dyDescent="0.3">
      <c r="A55" s="2" t="s">
        <v>122</v>
      </c>
      <c r="B55" s="3">
        <v>45345</v>
      </c>
      <c r="C55" s="2" t="s">
        <v>33</v>
      </c>
      <c r="D55" s="2" t="s">
        <v>57</v>
      </c>
      <c r="E55" s="2" t="s">
        <v>53</v>
      </c>
      <c r="F55" s="2" t="s">
        <v>47</v>
      </c>
      <c r="G55" s="2" t="s">
        <v>37</v>
      </c>
      <c r="H55" s="2" t="s">
        <v>73</v>
      </c>
      <c r="I55" s="2" t="s">
        <v>63</v>
      </c>
      <c r="J55" s="2">
        <v>5</v>
      </c>
    </row>
    <row r="56" spans="1:10" x14ac:dyDescent="0.3">
      <c r="A56" s="2" t="s">
        <v>123</v>
      </c>
      <c r="B56" s="3">
        <v>45433</v>
      </c>
      <c r="C56" s="2" t="s">
        <v>33</v>
      </c>
      <c r="D56" s="2" t="s">
        <v>34</v>
      </c>
      <c r="E56" s="2" t="s">
        <v>35</v>
      </c>
      <c r="F56" s="2" t="s">
        <v>36</v>
      </c>
      <c r="G56" s="2" t="s">
        <v>43</v>
      </c>
      <c r="H56" s="2" t="s">
        <v>38</v>
      </c>
      <c r="I56" s="2" t="s">
        <v>54</v>
      </c>
      <c r="J56" s="2">
        <v>4</v>
      </c>
    </row>
    <row r="57" spans="1:10" x14ac:dyDescent="0.3">
      <c r="A57" s="2" t="s">
        <v>124</v>
      </c>
      <c r="B57" s="3">
        <v>45374</v>
      </c>
      <c r="C57" s="2" t="s">
        <v>56</v>
      </c>
      <c r="D57" s="2" t="s">
        <v>34</v>
      </c>
      <c r="E57" s="2" t="s">
        <v>81</v>
      </c>
      <c r="F57" s="2" t="s">
        <v>42</v>
      </c>
      <c r="G57" s="2" t="s">
        <v>48</v>
      </c>
      <c r="H57" s="2" t="s">
        <v>38</v>
      </c>
      <c r="I57" s="2" t="s">
        <v>63</v>
      </c>
      <c r="J57" s="2">
        <v>3</v>
      </c>
    </row>
    <row r="58" spans="1:10" x14ac:dyDescent="0.3">
      <c r="A58" s="2" t="s">
        <v>125</v>
      </c>
      <c r="B58" s="3">
        <v>45433</v>
      </c>
      <c r="C58" s="2" t="s">
        <v>56</v>
      </c>
      <c r="D58" s="2" t="s">
        <v>34</v>
      </c>
      <c r="E58" s="2" t="s">
        <v>81</v>
      </c>
      <c r="F58" s="2" t="s">
        <v>47</v>
      </c>
      <c r="G58" s="2" t="s">
        <v>48</v>
      </c>
      <c r="H58" s="2" t="s">
        <v>62</v>
      </c>
      <c r="I58" s="2" t="s">
        <v>66</v>
      </c>
      <c r="J58" s="2">
        <v>5</v>
      </c>
    </row>
    <row r="59" spans="1:10" x14ac:dyDescent="0.3">
      <c r="A59" s="2" t="s">
        <v>126</v>
      </c>
      <c r="B59" s="3">
        <v>45367</v>
      </c>
      <c r="C59" s="2" t="s">
        <v>33</v>
      </c>
      <c r="D59" s="2" t="s">
        <v>52</v>
      </c>
      <c r="E59" s="2" t="s">
        <v>35</v>
      </c>
      <c r="F59" s="2" t="s">
        <v>42</v>
      </c>
      <c r="G59" s="2" t="s">
        <v>68</v>
      </c>
      <c r="H59" s="2" t="s">
        <v>62</v>
      </c>
      <c r="I59" s="2" t="s">
        <v>54</v>
      </c>
      <c r="J59" s="2">
        <v>2</v>
      </c>
    </row>
    <row r="60" spans="1:10" x14ac:dyDescent="0.3">
      <c r="A60" s="2" t="s">
        <v>127</v>
      </c>
      <c r="B60" s="3">
        <v>45317</v>
      </c>
      <c r="C60" s="2" t="s">
        <v>41</v>
      </c>
      <c r="D60" s="2" t="s">
        <v>52</v>
      </c>
      <c r="E60" s="2" t="s">
        <v>60</v>
      </c>
      <c r="F60" s="2" t="s">
        <v>42</v>
      </c>
      <c r="G60" s="2" t="s">
        <v>48</v>
      </c>
      <c r="H60" s="2" t="s">
        <v>49</v>
      </c>
      <c r="I60" s="2" t="s">
        <v>66</v>
      </c>
      <c r="J60" s="2">
        <v>4</v>
      </c>
    </row>
    <row r="61" spans="1:10" x14ac:dyDescent="0.3">
      <c r="A61" s="2" t="s">
        <v>128</v>
      </c>
      <c r="B61" s="3">
        <v>45426</v>
      </c>
      <c r="C61" s="2" t="s">
        <v>51</v>
      </c>
      <c r="D61" s="2" t="s">
        <v>34</v>
      </c>
      <c r="E61" s="2" t="s">
        <v>60</v>
      </c>
      <c r="F61" s="2" t="s">
        <v>61</v>
      </c>
      <c r="G61" s="2" t="s">
        <v>37</v>
      </c>
      <c r="H61" s="2" t="s">
        <v>49</v>
      </c>
      <c r="I61" s="2" t="s">
        <v>63</v>
      </c>
      <c r="J61" s="2">
        <v>2</v>
      </c>
    </row>
    <row r="62" spans="1:10" x14ac:dyDescent="0.3">
      <c r="A62" s="2" t="s">
        <v>129</v>
      </c>
      <c r="B62" s="3">
        <v>45423</v>
      </c>
      <c r="C62" s="2" t="s">
        <v>33</v>
      </c>
      <c r="D62" s="2" t="s">
        <v>57</v>
      </c>
      <c r="E62" s="2" t="s">
        <v>46</v>
      </c>
      <c r="F62" s="2" t="s">
        <v>42</v>
      </c>
      <c r="G62" s="2" t="s">
        <v>48</v>
      </c>
      <c r="H62" s="2" t="s">
        <v>49</v>
      </c>
      <c r="I62" s="2" t="s">
        <v>54</v>
      </c>
      <c r="J62" s="2">
        <v>5</v>
      </c>
    </row>
    <row r="63" spans="1:10" x14ac:dyDescent="0.3">
      <c r="A63" s="2" t="s">
        <v>130</v>
      </c>
      <c r="B63" s="3">
        <v>45355</v>
      </c>
      <c r="C63" s="2" t="s">
        <v>41</v>
      </c>
      <c r="D63" s="2" t="s">
        <v>52</v>
      </c>
      <c r="E63" s="2" t="s">
        <v>72</v>
      </c>
      <c r="F63" s="2" t="s">
        <v>42</v>
      </c>
      <c r="G63" s="2" t="s">
        <v>43</v>
      </c>
      <c r="H63" s="2" t="s">
        <v>62</v>
      </c>
      <c r="I63" s="2" t="s">
        <v>66</v>
      </c>
      <c r="J63" s="2">
        <v>5</v>
      </c>
    </row>
    <row r="64" spans="1:10" x14ac:dyDescent="0.3">
      <c r="A64" s="2" t="s">
        <v>131</v>
      </c>
      <c r="B64" s="3">
        <v>45453</v>
      </c>
      <c r="C64" s="2" t="s">
        <v>80</v>
      </c>
      <c r="D64" s="2" t="s">
        <v>57</v>
      </c>
      <c r="E64" s="2" t="s">
        <v>35</v>
      </c>
      <c r="F64" s="2" t="s">
        <v>36</v>
      </c>
      <c r="G64" s="2" t="s">
        <v>48</v>
      </c>
      <c r="H64" s="2" t="s">
        <v>73</v>
      </c>
      <c r="I64" s="2" t="s">
        <v>54</v>
      </c>
      <c r="J64" s="2">
        <v>1</v>
      </c>
    </row>
    <row r="65" spans="1:10" x14ac:dyDescent="0.3">
      <c r="A65" s="2" t="s">
        <v>132</v>
      </c>
      <c r="B65" s="3">
        <v>45301</v>
      </c>
      <c r="C65" s="2" t="s">
        <v>86</v>
      </c>
      <c r="D65" s="2" t="s">
        <v>34</v>
      </c>
      <c r="E65" s="2" t="s">
        <v>81</v>
      </c>
      <c r="F65" s="2" t="s">
        <v>61</v>
      </c>
      <c r="G65" s="2" t="s">
        <v>48</v>
      </c>
      <c r="H65" s="2" t="s">
        <v>73</v>
      </c>
      <c r="I65" s="2" t="s">
        <v>66</v>
      </c>
      <c r="J65" s="2">
        <v>4</v>
      </c>
    </row>
    <row r="66" spans="1:10" x14ac:dyDescent="0.3">
      <c r="A66" s="2" t="s">
        <v>133</v>
      </c>
      <c r="B66" s="3">
        <v>45360</v>
      </c>
      <c r="C66" s="2" t="s">
        <v>51</v>
      </c>
      <c r="D66" s="2" t="s">
        <v>77</v>
      </c>
      <c r="E66" s="2" t="s">
        <v>35</v>
      </c>
      <c r="F66" s="2" t="s">
        <v>47</v>
      </c>
      <c r="G66" s="2" t="s">
        <v>37</v>
      </c>
      <c r="H66" s="2" t="s">
        <v>62</v>
      </c>
      <c r="I66" s="2" t="s">
        <v>44</v>
      </c>
      <c r="J66" s="2">
        <v>1</v>
      </c>
    </row>
    <row r="67" spans="1:10" x14ac:dyDescent="0.3">
      <c r="A67" s="2" t="s">
        <v>134</v>
      </c>
      <c r="B67" s="3">
        <v>45367</v>
      </c>
      <c r="C67" s="2" t="s">
        <v>71</v>
      </c>
      <c r="D67" s="2" t="s">
        <v>34</v>
      </c>
      <c r="E67" s="2" t="s">
        <v>72</v>
      </c>
      <c r="F67" s="2" t="s">
        <v>47</v>
      </c>
      <c r="G67" s="2" t="s">
        <v>68</v>
      </c>
      <c r="H67" s="2" t="s">
        <v>62</v>
      </c>
      <c r="I67" s="2" t="s">
        <v>39</v>
      </c>
      <c r="J67" s="2">
        <v>2</v>
      </c>
    </row>
    <row r="68" spans="1:10" x14ac:dyDescent="0.3">
      <c r="A68" s="2" t="s">
        <v>135</v>
      </c>
      <c r="B68" s="3">
        <v>45337</v>
      </c>
      <c r="C68" s="2" t="s">
        <v>56</v>
      </c>
      <c r="D68" s="2" t="s">
        <v>52</v>
      </c>
      <c r="E68" s="2" t="s">
        <v>46</v>
      </c>
      <c r="F68" s="2" t="s">
        <v>36</v>
      </c>
      <c r="G68" s="2" t="s">
        <v>68</v>
      </c>
      <c r="H68" s="2" t="s">
        <v>49</v>
      </c>
      <c r="I68" s="2" t="s">
        <v>66</v>
      </c>
      <c r="J68" s="2">
        <v>1</v>
      </c>
    </row>
    <row r="69" spans="1:10" x14ac:dyDescent="0.3">
      <c r="A69" s="2" t="s">
        <v>136</v>
      </c>
      <c r="B69" s="3">
        <v>45417</v>
      </c>
      <c r="C69" s="2" t="s">
        <v>56</v>
      </c>
      <c r="D69" s="2" t="s">
        <v>34</v>
      </c>
      <c r="E69" s="2" t="s">
        <v>46</v>
      </c>
      <c r="F69" s="2" t="s">
        <v>47</v>
      </c>
      <c r="G69" s="2" t="s">
        <v>43</v>
      </c>
      <c r="H69" s="2" t="s">
        <v>38</v>
      </c>
      <c r="I69" s="2" t="s">
        <v>63</v>
      </c>
      <c r="J69" s="2">
        <v>3</v>
      </c>
    </row>
    <row r="70" spans="1:10" x14ac:dyDescent="0.3">
      <c r="A70" s="2" t="s">
        <v>137</v>
      </c>
      <c r="B70" s="3">
        <v>45408</v>
      </c>
      <c r="C70" s="2" t="s">
        <v>41</v>
      </c>
      <c r="D70" s="2" t="s">
        <v>57</v>
      </c>
      <c r="E70" s="2" t="s">
        <v>72</v>
      </c>
      <c r="F70" s="2" t="s">
        <v>61</v>
      </c>
      <c r="G70" s="2" t="s">
        <v>48</v>
      </c>
      <c r="H70" s="2" t="s">
        <v>38</v>
      </c>
      <c r="I70" s="2" t="s">
        <v>39</v>
      </c>
      <c r="J70" s="2">
        <v>0</v>
      </c>
    </row>
    <row r="71" spans="1:10" x14ac:dyDescent="0.3">
      <c r="A71" s="2" t="s">
        <v>138</v>
      </c>
      <c r="B71" s="3">
        <v>45302</v>
      </c>
      <c r="C71" s="2" t="s">
        <v>86</v>
      </c>
      <c r="D71" s="2" t="s">
        <v>57</v>
      </c>
      <c r="E71" s="2" t="s">
        <v>46</v>
      </c>
      <c r="F71" s="2" t="s">
        <v>42</v>
      </c>
      <c r="G71" s="2" t="s">
        <v>43</v>
      </c>
      <c r="H71" s="2" t="s">
        <v>62</v>
      </c>
      <c r="I71" s="2" t="s">
        <v>66</v>
      </c>
      <c r="J71" s="2">
        <v>4</v>
      </c>
    </row>
    <row r="72" spans="1:10" x14ac:dyDescent="0.3">
      <c r="A72" s="2" t="s">
        <v>139</v>
      </c>
      <c r="B72" s="3">
        <v>45430</v>
      </c>
      <c r="C72" s="2" t="s">
        <v>80</v>
      </c>
      <c r="D72" s="2" t="s">
        <v>75</v>
      </c>
      <c r="E72" s="2" t="s">
        <v>60</v>
      </c>
      <c r="F72" s="2" t="s">
        <v>36</v>
      </c>
      <c r="G72" s="2" t="s">
        <v>37</v>
      </c>
      <c r="H72" s="2" t="s">
        <v>62</v>
      </c>
      <c r="I72" s="2" t="s">
        <v>39</v>
      </c>
      <c r="J72" s="2">
        <v>2</v>
      </c>
    </row>
    <row r="73" spans="1:10" x14ac:dyDescent="0.3">
      <c r="A73" s="2" t="s">
        <v>140</v>
      </c>
      <c r="B73" s="3">
        <v>45448</v>
      </c>
      <c r="C73" s="2" t="s">
        <v>41</v>
      </c>
      <c r="D73" s="2" t="s">
        <v>57</v>
      </c>
      <c r="E73" s="2" t="s">
        <v>81</v>
      </c>
      <c r="F73" s="2" t="s">
        <v>61</v>
      </c>
      <c r="G73" s="2" t="s">
        <v>37</v>
      </c>
      <c r="H73" s="2" t="s">
        <v>73</v>
      </c>
      <c r="I73" s="2" t="s">
        <v>63</v>
      </c>
      <c r="J73" s="2">
        <v>4</v>
      </c>
    </row>
    <row r="74" spans="1:10" x14ac:dyDescent="0.3">
      <c r="A74" s="2" t="s">
        <v>141</v>
      </c>
      <c r="B74" s="3">
        <v>45352</v>
      </c>
      <c r="C74" s="2" t="s">
        <v>56</v>
      </c>
      <c r="D74" s="2" t="s">
        <v>57</v>
      </c>
      <c r="E74" s="2" t="s">
        <v>72</v>
      </c>
      <c r="F74" s="2" t="s">
        <v>47</v>
      </c>
      <c r="G74" s="2" t="s">
        <v>37</v>
      </c>
      <c r="H74" s="2" t="s">
        <v>62</v>
      </c>
      <c r="I74" s="2" t="s">
        <v>58</v>
      </c>
      <c r="J74" s="2">
        <v>1</v>
      </c>
    </row>
    <row r="75" spans="1:10" x14ac:dyDescent="0.3">
      <c r="A75" s="2" t="s">
        <v>142</v>
      </c>
      <c r="B75" s="3">
        <v>45460</v>
      </c>
      <c r="C75" s="2" t="s">
        <v>56</v>
      </c>
      <c r="D75" s="2" t="s">
        <v>57</v>
      </c>
      <c r="E75" s="2" t="s">
        <v>60</v>
      </c>
      <c r="F75" s="2" t="s">
        <v>36</v>
      </c>
      <c r="G75" s="2" t="s">
        <v>68</v>
      </c>
      <c r="H75" s="2" t="s">
        <v>49</v>
      </c>
      <c r="I75" s="2" t="s">
        <v>63</v>
      </c>
      <c r="J75" s="2">
        <v>3</v>
      </c>
    </row>
    <row r="76" spans="1:10" x14ac:dyDescent="0.3">
      <c r="A76" s="2" t="s">
        <v>143</v>
      </c>
      <c r="B76" s="3">
        <v>45399</v>
      </c>
      <c r="C76" s="2" t="s">
        <v>86</v>
      </c>
      <c r="D76" s="2" t="s">
        <v>77</v>
      </c>
      <c r="E76" s="2" t="s">
        <v>81</v>
      </c>
      <c r="F76" s="2" t="s">
        <v>61</v>
      </c>
      <c r="G76" s="2" t="s">
        <v>43</v>
      </c>
      <c r="H76" s="2" t="s">
        <v>38</v>
      </c>
      <c r="I76" s="2" t="s">
        <v>44</v>
      </c>
      <c r="J76" s="2">
        <v>4</v>
      </c>
    </row>
    <row r="77" spans="1:10" x14ac:dyDescent="0.3">
      <c r="A77" s="2" t="s">
        <v>144</v>
      </c>
      <c r="B77" s="3">
        <v>45437</v>
      </c>
      <c r="C77" s="2" t="s">
        <v>56</v>
      </c>
      <c r="D77" s="2" t="s">
        <v>75</v>
      </c>
      <c r="E77" s="2" t="s">
        <v>53</v>
      </c>
      <c r="F77" s="2" t="s">
        <v>61</v>
      </c>
      <c r="G77" s="2" t="s">
        <v>37</v>
      </c>
      <c r="H77" s="2" t="s">
        <v>49</v>
      </c>
      <c r="I77" s="2" t="s">
        <v>58</v>
      </c>
      <c r="J77" s="2">
        <v>4</v>
      </c>
    </row>
    <row r="78" spans="1:10" x14ac:dyDescent="0.3">
      <c r="A78" s="2" t="s">
        <v>145</v>
      </c>
      <c r="B78" s="3">
        <v>45330</v>
      </c>
      <c r="C78" s="2" t="s">
        <v>80</v>
      </c>
      <c r="D78" s="2" t="s">
        <v>75</v>
      </c>
      <c r="E78" s="2" t="s">
        <v>53</v>
      </c>
      <c r="F78" s="2" t="s">
        <v>36</v>
      </c>
      <c r="G78" s="2" t="s">
        <v>48</v>
      </c>
      <c r="H78" s="2" t="s">
        <v>62</v>
      </c>
      <c r="I78" s="2" t="s">
        <v>54</v>
      </c>
      <c r="J78" s="2">
        <v>2</v>
      </c>
    </row>
    <row r="79" spans="1:10" x14ac:dyDescent="0.3">
      <c r="A79" s="2" t="s">
        <v>146</v>
      </c>
      <c r="B79" s="3">
        <v>45382</v>
      </c>
      <c r="C79" s="2" t="s">
        <v>80</v>
      </c>
      <c r="D79" s="2" t="s">
        <v>77</v>
      </c>
      <c r="E79" s="2" t="s">
        <v>60</v>
      </c>
      <c r="F79" s="2" t="s">
        <v>36</v>
      </c>
      <c r="G79" s="2" t="s">
        <v>43</v>
      </c>
      <c r="H79" s="2" t="s">
        <v>49</v>
      </c>
      <c r="I79" s="2" t="s">
        <v>39</v>
      </c>
      <c r="J79" s="2">
        <v>0</v>
      </c>
    </row>
    <row r="80" spans="1:10" x14ac:dyDescent="0.3">
      <c r="A80" s="2" t="s">
        <v>147</v>
      </c>
      <c r="B80" s="3">
        <v>45329</v>
      </c>
      <c r="C80" s="2" t="s">
        <v>41</v>
      </c>
      <c r="D80" s="2" t="s">
        <v>52</v>
      </c>
      <c r="E80" s="2" t="s">
        <v>81</v>
      </c>
      <c r="F80" s="2" t="s">
        <v>36</v>
      </c>
      <c r="G80" s="2" t="s">
        <v>68</v>
      </c>
      <c r="H80" s="2" t="s">
        <v>62</v>
      </c>
      <c r="I80" s="2" t="s">
        <v>39</v>
      </c>
      <c r="J80" s="2">
        <v>5</v>
      </c>
    </row>
    <row r="81" spans="1:10" x14ac:dyDescent="0.3">
      <c r="A81" s="2" t="s">
        <v>148</v>
      </c>
      <c r="B81" s="3">
        <v>45375</v>
      </c>
      <c r="C81" s="2" t="s">
        <v>71</v>
      </c>
      <c r="D81" s="2" t="s">
        <v>34</v>
      </c>
      <c r="E81" s="2" t="s">
        <v>35</v>
      </c>
      <c r="F81" s="2" t="s">
        <v>61</v>
      </c>
      <c r="G81" s="2" t="s">
        <v>37</v>
      </c>
      <c r="H81" s="2" t="s">
        <v>62</v>
      </c>
      <c r="I81" s="2" t="s">
        <v>44</v>
      </c>
      <c r="J81" s="2">
        <v>4</v>
      </c>
    </row>
    <row r="82" spans="1:10" x14ac:dyDescent="0.3">
      <c r="A82" s="2" t="s">
        <v>149</v>
      </c>
      <c r="B82" s="3">
        <v>45320</v>
      </c>
      <c r="C82" s="2" t="s">
        <v>65</v>
      </c>
      <c r="D82" s="2" t="s">
        <v>52</v>
      </c>
      <c r="E82" s="2" t="s">
        <v>60</v>
      </c>
      <c r="F82" s="2" t="s">
        <v>36</v>
      </c>
      <c r="G82" s="2" t="s">
        <v>37</v>
      </c>
      <c r="H82" s="2" t="s">
        <v>73</v>
      </c>
      <c r="I82" s="2" t="s">
        <v>44</v>
      </c>
      <c r="J82" s="2">
        <v>0</v>
      </c>
    </row>
    <row r="83" spans="1:10" x14ac:dyDescent="0.3">
      <c r="A83" s="2" t="s">
        <v>150</v>
      </c>
      <c r="B83" s="3">
        <v>45404</v>
      </c>
      <c r="C83" s="2" t="s">
        <v>71</v>
      </c>
      <c r="D83" s="2" t="s">
        <v>52</v>
      </c>
      <c r="E83" s="2" t="s">
        <v>81</v>
      </c>
      <c r="F83" s="2" t="s">
        <v>47</v>
      </c>
      <c r="G83" s="2" t="s">
        <v>68</v>
      </c>
      <c r="H83" s="2" t="s">
        <v>49</v>
      </c>
      <c r="I83" s="2" t="s">
        <v>39</v>
      </c>
      <c r="J83" s="2">
        <v>3</v>
      </c>
    </row>
    <row r="84" spans="1:10" x14ac:dyDescent="0.3">
      <c r="A84" s="2" t="s">
        <v>151</v>
      </c>
      <c r="B84" s="3">
        <v>45424</v>
      </c>
      <c r="C84" s="2" t="s">
        <v>41</v>
      </c>
      <c r="D84" s="2" t="s">
        <v>75</v>
      </c>
      <c r="E84" s="2" t="s">
        <v>72</v>
      </c>
      <c r="F84" s="2" t="s">
        <v>47</v>
      </c>
      <c r="G84" s="2" t="s">
        <v>43</v>
      </c>
      <c r="H84" s="2" t="s">
        <v>38</v>
      </c>
      <c r="I84" s="2" t="s">
        <v>58</v>
      </c>
      <c r="J84" s="2">
        <v>4</v>
      </c>
    </row>
    <row r="85" spans="1:10" x14ac:dyDescent="0.3">
      <c r="A85" s="2" t="s">
        <v>152</v>
      </c>
      <c r="B85" s="3">
        <v>45319</v>
      </c>
      <c r="C85" s="2" t="s">
        <v>51</v>
      </c>
      <c r="D85" s="2" t="s">
        <v>34</v>
      </c>
      <c r="E85" s="2" t="s">
        <v>72</v>
      </c>
      <c r="F85" s="2" t="s">
        <v>61</v>
      </c>
      <c r="G85" s="2" t="s">
        <v>48</v>
      </c>
      <c r="H85" s="2" t="s">
        <v>73</v>
      </c>
      <c r="I85" s="2" t="s">
        <v>54</v>
      </c>
      <c r="J85" s="2">
        <v>2</v>
      </c>
    </row>
    <row r="86" spans="1:10" x14ac:dyDescent="0.3">
      <c r="A86" s="2" t="s">
        <v>153</v>
      </c>
      <c r="B86" s="3">
        <v>45308</v>
      </c>
      <c r="C86" s="2" t="s">
        <v>65</v>
      </c>
      <c r="D86" s="2" t="s">
        <v>57</v>
      </c>
      <c r="E86" s="2" t="s">
        <v>53</v>
      </c>
      <c r="F86" s="2" t="s">
        <v>42</v>
      </c>
      <c r="G86" s="2" t="s">
        <v>68</v>
      </c>
      <c r="H86" s="2" t="s">
        <v>73</v>
      </c>
      <c r="I86" s="2" t="s">
        <v>66</v>
      </c>
      <c r="J86" s="2">
        <v>3</v>
      </c>
    </row>
    <row r="87" spans="1:10" x14ac:dyDescent="0.3">
      <c r="A87" s="2" t="s">
        <v>154</v>
      </c>
      <c r="B87" s="3">
        <v>45302</v>
      </c>
      <c r="C87" s="2" t="s">
        <v>86</v>
      </c>
      <c r="D87" s="2" t="s">
        <v>57</v>
      </c>
      <c r="E87" s="2" t="s">
        <v>60</v>
      </c>
      <c r="F87" s="2" t="s">
        <v>36</v>
      </c>
      <c r="G87" s="2" t="s">
        <v>37</v>
      </c>
      <c r="H87" s="2" t="s">
        <v>73</v>
      </c>
      <c r="I87" s="2" t="s">
        <v>63</v>
      </c>
      <c r="J87" s="2">
        <v>2</v>
      </c>
    </row>
    <row r="88" spans="1:10" x14ac:dyDescent="0.3">
      <c r="A88" s="2" t="s">
        <v>155</v>
      </c>
      <c r="B88" s="3">
        <v>45457</v>
      </c>
      <c r="C88" s="2" t="s">
        <v>71</v>
      </c>
      <c r="D88" s="2" t="s">
        <v>57</v>
      </c>
      <c r="E88" s="2" t="s">
        <v>72</v>
      </c>
      <c r="F88" s="2" t="s">
        <v>47</v>
      </c>
      <c r="G88" s="2" t="s">
        <v>68</v>
      </c>
      <c r="H88" s="2" t="s">
        <v>38</v>
      </c>
      <c r="I88" s="2" t="s">
        <v>54</v>
      </c>
      <c r="J88" s="2">
        <v>1</v>
      </c>
    </row>
    <row r="89" spans="1:10" x14ac:dyDescent="0.3">
      <c r="A89" s="2" t="s">
        <v>156</v>
      </c>
      <c r="B89" s="3">
        <v>45373</v>
      </c>
      <c r="C89" s="2" t="s">
        <v>33</v>
      </c>
      <c r="D89" s="2" t="s">
        <v>75</v>
      </c>
      <c r="E89" s="2" t="s">
        <v>46</v>
      </c>
      <c r="F89" s="2" t="s">
        <v>47</v>
      </c>
      <c r="G89" s="2" t="s">
        <v>37</v>
      </c>
      <c r="H89" s="2" t="s">
        <v>38</v>
      </c>
      <c r="I89" s="2" t="s">
        <v>58</v>
      </c>
      <c r="J89" s="2">
        <v>2</v>
      </c>
    </row>
    <row r="90" spans="1:10" x14ac:dyDescent="0.3">
      <c r="A90" s="2" t="s">
        <v>157</v>
      </c>
      <c r="B90" s="3">
        <v>45445</v>
      </c>
      <c r="C90" s="2" t="s">
        <v>80</v>
      </c>
      <c r="D90" s="2" t="s">
        <v>75</v>
      </c>
      <c r="E90" s="2" t="s">
        <v>35</v>
      </c>
      <c r="F90" s="2" t="s">
        <v>42</v>
      </c>
      <c r="G90" s="2" t="s">
        <v>37</v>
      </c>
      <c r="H90" s="2" t="s">
        <v>62</v>
      </c>
      <c r="I90" s="2" t="s">
        <v>66</v>
      </c>
      <c r="J90" s="2">
        <v>0</v>
      </c>
    </row>
    <row r="91" spans="1:10" x14ac:dyDescent="0.3">
      <c r="A91" s="2" t="s">
        <v>158</v>
      </c>
      <c r="B91" s="3">
        <v>45294</v>
      </c>
      <c r="C91" s="2" t="s">
        <v>41</v>
      </c>
      <c r="D91" s="2" t="s">
        <v>52</v>
      </c>
      <c r="E91" s="2" t="s">
        <v>60</v>
      </c>
      <c r="F91" s="2" t="s">
        <v>36</v>
      </c>
      <c r="G91" s="2" t="s">
        <v>37</v>
      </c>
      <c r="H91" s="2" t="s">
        <v>73</v>
      </c>
      <c r="I91" s="2" t="s">
        <v>39</v>
      </c>
      <c r="J91" s="2">
        <v>1</v>
      </c>
    </row>
    <row r="92" spans="1:10" x14ac:dyDescent="0.3">
      <c r="A92" s="2" t="s">
        <v>159</v>
      </c>
      <c r="B92" s="3">
        <v>45458</v>
      </c>
      <c r="C92" s="2" t="s">
        <v>86</v>
      </c>
      <c r="D92" s="2" t="s">
        <v>77</v>
      </c>
      <c r="E92" s="2" t="s">
        <v>35</v>
      </c>
      <c r="F92" s="2" t="s">
        <v>42</v>
      </c>
      <c r="G92" s="2" t="s">
        <v>48</v>
      </c>
      <c r="H92" s="2" t="s">
        <v>49</v>
      </c>
      <c r="I92" s="2" t="s">
        <v>66</v>
      </c>
      <c r="J92" s="2">
        <v>4</v>
      </c>
    </row>
    <row r="93" spans="1:10" x14ac:dyDescent="0.3">
      <c r="A93" s="2" t="s">
        <v>160</v>
      </c>
      <c r="B93" s="3">
        <v>45369</v>
      </c>
      <c r="C93" s="2" t="s">
        <v>33</v>
      </c>
      <c r="D93" s="2" t="s">
        <v>52</v>
      </c>
      <c r="E93" s="2" t="s">
        <v>81</v>
      </c>
      <c r="F93" s="2" t="s">
        <v>36</v>
      </c>
      <c r="G93" s="2" t="s">
        <v>43</v>
      </c>
      <c r="H93" s="2" t="s">
        <v>49</v>
      </c>
      <c r="I93" s="2" t="s">
        <v>44</v>
      </c>
      <c r="J93" s="2">
        <v>1</v>
      </c>
    </row>
    <row r="94" spans="1:10" x14ac:dyDescent="0.3">
      <c r="A94" s="2" t="s">
        <v>161</v>
      </c>
      <c r="B94" s="3">
        <v>45389</v>
      </c>
      <c r="C94" s="2" t="s">
        <v>51</v>
      </c>
      <c r="D94" s="2" t="s">
        <v>77</v>
      </c>
      <c r="E94" s="2" t="s">
        <v>72</v>
      </c>
      <c r="F94" s="2" t="s">
        <v>42</v>
      </c>
      <c r="G94" s="2" t="s">
        <v>68</v>
      </c>
      <c r="H94" s="2" t="s">
        <v>73</v>
      </c>
      <c r="I94" s="2" t="s">
        <v>44</v>
      </c>
      <c r="J94" s="2">
        <v>5</v>
      </c>
    </row>
    <row r="95" spans="1:10" x14ac:dyDescent="0.3">
      <c r="A95" s="2" t="s">
        <v>162</v>
      </c>
      <c r="B95" s="3">
        <v>45456</v>
      </c>
      <c r="C95" s="2" t="s">
        <v>86</v>
      </c>
      <c r="D95" s="2" t="s">
        <v>57</v>
      </c>
      <c r="E95" s="2" t="s">
        <v>46</v>
      </c>
      <c r="F95" s="2" t="s">
        <v>36</v>
      </c>
      <c r="G95" s="2" t="s">
        <v>43</v>
      </c>
      <c r="H95" s="2" t="s">
        <v>49</v>
      </c>
      <c r="I95" s="2" t="s">
        <v>44</v>
      </c>
      <c r="J95" s="2">
        <v>0</v>
      </c>
    </row>
    <row r="96" spans="1:10" x14ac:dyDescent="0.3">
      <c r="A96" s="2" t="s">
        <v>163</v>
      </c>
      <c r="B96" s="3">
        <v>45342</v>
      </c>
      <c r="C96" s="2" t="s">
        <v>41</v>
      </c>
      <c r="D96" s="2" t="s">
        <v>52</v>
      </c>
      <c r="E96" s="2" t="s">
        <v>46</v>
      </c>
      <c r="F96" s="2" t="s">
        <v>36</v>
      </c>
      <c r="G96" s="2" t="s">
        <v>43</v>
      </c>
      <c r="H96" s="2" t="s">
        <v>62</v>
      </c>
      <c r="I96" s="2" t="s">
        <v>63</v>
      </c>
      <c r="J96" s="2">
        <v>3</v>
      </c>
    </row>
    <row r="97" spans="1:10" x14ac:dyDescent="0.3">
      <c r="A97" s="2" t="s">
        <v>164</v>
      </c>
      <c r="B97" s="3">
        <v>45313</v>
      </c>
      <c r="C97" s="2" t="s">
        <v>56</v>
      </c>
      <c r="D97" s="2" t="s">
        <v>57</v>
      </c>
      <c r="E97" s="2" t="s">
        <v>60</v>
      </c>
      <c r="F97" s="2" t="s">
        <v>36</v>
      </c>
      <c r="G97" s="2" t="s">
        <v>48</v>
      </c>
      <c r="H97" s="2" t="s">
        <v>62</v>
      </c>
      <c r="I97" s="2" t="s">
        <v>63</v>
      </c>
      <c r="J97" s="2">
        <v>5</v>
      </c>
    </row>
    <row r="98" spans="1:10" x14ac:dyDescent="0.3">
      <c r="A98" s="2" t="s">
        <v>165</v>
      </c>
      <c r="B98" s="3">
        <v>45403</v>
      </c>
      <c r="C98" s="2" t="s">
        <v>65</v>
      </c>
      <c r="D98" s="2" t="s">
        <v>75</v>
      </c>
      <c r="E98" s="2" t="s">
        <v>53</v>
      </c>
      <c r="F98" s="2" t="s">
        <v>47</v>
      </c>
      <c r="G98" s="2" t="s">
        <v>43</v>
      </c>
      <c r="H98" s="2" t="s">
        <v>49</v>
      </c>
      <c r="I98" s="2" t="s">
        <v>63</v>
      </c>
      <c r="J98" s="2">
        <v>3</v>
      </c>
    </row>
    <row r="99" spans="1:10" x14ac:dyDescent="0.3">
      <c r="A99" s="2" t="s">
        <v>166</v>
      </c>
      <c r="B99" s="3">
        <v>45390</v>
      </c>
      <c r="C99" s="2" t="s">
        <v>65</v>
      </c>
      <c r="D99" s="2" t="s">
        <v>77</v>
      </c>
      <c r="E99" s="2" t="s">
        <v>72</v>
      </c>
      <c r="F99" s="2" t="s">
        <v>47</v>
      </c>
      <c r="G99" s="2" t="s">
        <v>68</v>
      </c>
      <c r="H99" s="2" t="s">
        <v>73</v>
      </c>
      <c r="I99" s="2" t="s">
        <v>66</v>
      </c>
      <c r="J99" s="2">
        <v>0</v>
      </c>
    </row>
    <row r="100" spans="1:10" x14ac:dyDescent="0.3">
      <c r="A100" s="2" t="s">
        <v>167</v>
      </c>
      <c r="B100" s="3">
        <v>45464</v>
      </c>
      <c r="C100" s="2" t="s">
        <v>86</v>
      </c>
      <c r="D100" s="2" t="s">
        <v>34</v>
      </c>
      <c r="E100" s="2" t="s">
        <v>35</v>
      </c>
      <c r="F100" s="2" t="s">
        <v>36</v>
      </c>
      <c r="G100" s="2" t="s">
        <v>68</v>
      </c>
      <c r="H100" s="2" t="s">
        <v>62</v>
      </c>
      <c r="I100" s="2" t="s">
        <v>63</v>
      </c>
      <c r="J100" s="2">
        <v>4</v>
      </c>
    </row>
    <row r="101" spans="1:10" x14ac:dyDescent="0.3">
      <c r="A101" s="2" t="s">
        <v>168</v>
      </c>
      <c r="B101" s="3">
        <v>45317</v>
      </c>
      <c r="C101" s="2" t="s">
        <v>71</v>
      </c>
      <c r="D101" s="2" t="s">
        <v>77</v>
      </c>
      <c r="E101" s="2" t="s">
        <v>72</v>
      </c>
      <c r="F101" s="2" t="s">
        <v>47</v>
      </c>
      <c r="G101" s="2" t="s">
        <v>43</v>
      </c>
      <c r="H101" s="2" t="s">
        <v>73</v>
      </c>
      <c r="I101" s="2" t="s">
        <v>39</v>
      </c>
      <c r="J101" s="2">
        <v>2</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ANS6</vt:lpstr>
      <vt:lpstr>ANS7 DASHBOARD(ROAD ANALSIS)</vt:lpstr>
      <vt:lpstr>ANS 8</vt:lpstr>
      <vt:lpstr>ANS. 9</vt:lpstr>
      <vt:lpstr>ANS 10</vt:lpstr>
      <vt:lpstr>sheet 7</vt:lpstr>
      <vt:lpstr>Sheet4</vt:lpstr>
      <vt:lpstr>Sheet5</vt:lpstr>
      <vt:lpstr>Sheet6</vt:lpstr>
      <vt:lpstr>Sheet10</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Priya Morya</dc:creator>
  <cp:lastModifiedBy>Priya Morya</cp:lastModifiedBy>
  <dcterms:created xsi:type="dcterms:W3CDTF">2026-01-06T18:43:45Z</dcterms:created>
  <dcterms:modified xsi:type="dcterms:W3CDTF">2026-01-08T10:50:32Z</dcterms:modified>
</cp:coreProperties>
</file>